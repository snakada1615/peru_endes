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nakada/Documents/univ_github/peru_endes/"/>
    </mc:Choice>
  </mc:AlternateContent>
  <xr:revisionPtr revIDLastSave="0" documentId="13_ncr:1_{5CB93C51-AD64-6844-9BAA-949CD7AD7A0C}" xr6:coauthVersionLast="47" xr6:coauthVersionMax="47" xr10:uidLastSave="{00000000-0000-0000-0000-000000000000}"/>
  <bookViews>
    <workbookView xWindow="19200" yWindow="500" windowWidth="19200" windowHeight="19500" activeTab="2" xr2:uid="{00000000-000D-0000-FFFF-FFFF00000000}"/>
  </bookViews>
  <sheets>
    <sheet name="var_clean251225" sheetId="2" r:id="rId1"/>
    <sheet name="var260113" sheetId="3" r:id="rId2"/>
    <sheet name="variables" sheetId="4" r:id="rId3"/>
  </sheets>
  <definedNames>
    <definedName name="_xlnm._FilterDatabase" localSheetId="1" hidden="1">'var260113'!$A$1:$E$80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3" l="1"/>
  <c r="C55" i="3"/>
  <c r="C5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8" i="3"/>
  <c r="C49" i="3"/>
  <c r="C50" i="3"/>
  <c r="C52" i="3"/>
  <c r="C53" i="3"/>
  <c r="C54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70" i="3"/>
  <c r="C71" i="3"/>
  <c r="C72" i="3"/>
  <c r="C73" i="3"/>
  <c r="C74" i="3"/>
  <c r="C75" i="3"/>
  <c r="C76" i="3"/>
  <c r="C77" i="3"/>
  <c r="C78" i="3"/>
  <c r="C79" i="3"/>
  <c r="C80" i="3"/>
</calcChain>
</file>

<file path=xl/sharedStrings.xml><?xml version="1.0" encoding="utf-8"?>
<sst xmlns="http://schemas.openxmlformats.org/spreadsheetml/2006/main" count="907" uniqueCount="434">
  <si>
    <t>rh_anc_pv</t>
  </si>
  <si>
    <t>Person providing assistance during ANC</t>
  </si>
  <si>
    <t>Skilled assistance during ANC</t>
  </si>
  <si>
    <t>rh_anc_numvs</t>
  </si>
  <si>
    <t>Number of ANC visits</t>
  </si>
  <si>
    <t>rh_anc_4vs</t>
  </si>
  <si>
    <t>Attended 4+ ANC visits</t>
  </si>
  <si>
    <t>rh_anc_moprg</t>
  </si>
  <si>
    <t>Number of months pregnant at time of first ANC visit</t>
  </si>
  <si>
    <t>rh_anc_4mo</t>
  </si>
  <si>
    <t>Attended ANC &lt;4 months of pregnancy</t>
  </si>
  <si>
    <t>rh_anc_median</t>
  </si>
  <si>
    <t>Total- Median months pregnant at first visit</t>
  </si>
  <si>
    <t>rh_anc_iron</t>
  </si>
  <si>
    <t>Took iron tablet/syrup during pregnancy of last birth</t>
  </si>
  <si>
    <t>rh_anc_parast</t>
  </si>
  <si>
    <t>Took intestinal parasite drugs during pregnancy of last birth</t>
  </si>
  <si>
    <t>rh_anc_prgcomp</t>
  </si>
  <si>
    <t>Informed of pregnancy complications during ANC visit</t>
  </si>
  <si>
    <t>rh_anc_bldpres</t>
  </si>
  <si>
    <t>Blood pressure was taken during ANC visit</t>
  </si>
  <si>
    <t>rh_anc_urine</t>
  </si>
  <si>
    <t>Urine sample was taken during ANC visit</t>
  </si>
  <si>
    <t>rh_anc_bldsamp</t>
  </si>
  <si>
    <t>Blood sample was taken during ANC visit</t>
  </si>
  <si>
    <t>rh_anc_toxinj</t>
  </si>
  <si>
    <t>Received 2+ tetanus injections during last pregnancy</t>
  </si>
  <si>
    <t>Problem health care access: permission to go</t>
  </si>
  <si>
    <t>rh_prob_money</t>
  </si>
  <si>
    <t>Problem health care access: getting money</t>
  </si>
  <si>
    <t>rh_prob_dist</t>
  </si>
  <si>
    <t>Problem health care access: distance to facility</t>
  </si>
  <si>
    <t>rh_prob_alone</t>
  </si>
  <si>
    <t>Problem health care access: not wanting to go alone</t>
  </si>
  <si>
    <t>rh_prob_minone</t>
  </si>
  <si>
    <t>At least one problem in accessing health care</t>
  </si>
  <si>
    <t>rc_edu</t>
  </si>
  <si>
    <t>Highest level of schooling attended or completed</t>
  </si>
  <si>
    <t>Attended or completed at least secondary education</t>
  </si>
  <si>
    <t>rc_litr_cats</t>
  </si>
  <si>
    <t>Level of literacy</t>
  </si>
  <si>
    <t>rc_litr</t>
  </si>
  <si>
    <t>Literate - higher than secondary or can read part or whole sentence</t>
  </si>
  <si>
    <t>rc_media_newsp</t>
  </si>
  <si>
    <t>Reads a newspaper at least once a week</t>
  </si>
  <si>
    <t>rc_media_tv</t>
  </si>
  <si>
    <t>Watches television at least once a week</t>
  </si>
  <si>
    <t>rc_media_radio</t>
  </si>
  <si>
    <t>Listens to radio at least once a week</t>
  </si>
  <si>
    <t>rc_media_allthree</t>
  </si>
  <si>
    <t>Accesses to all three media at least once a week</t>
  </si>
  <si>
    <t>rc_media_none</t>
  </si>
  <si>
    <t>Accesses none of the three media at least once a week</t>
  </si>
  <si>
    <t>rc_empl</t>
  </si>
  <si>
    <t>Employment status</t>
  </si>
  <si>
    <t>rc_occup</t>
  </si>
  <si>
    <t>Occupation among those employed in the past 12 months</t>
  </si>
  <si>
    <t>rc_agri</t>
  </si>
  <si>
    <t>Work in agriculture in the past 12 months</t>
  </si>
  <si>
    <t>rc_hins_priv</t>
  </si>
  <si>
    <t>Health insurance coverage - privately purchased commercial insurance</t>
  </si>
  <si>
    <t>rc_hins_other</t>
  </si>
  <si>
    <t>Health insurance coverage - other type of insurance</t>
  </si>
  <si>
    <t>rc_hins_any</t>
  </si>
  <si>
    <t>Have any health insurance</t>
  </si>
  <si>
    <t>rc_tobc_cig</t>
  </si>
  <si>
    <t>Smokes cigarettes</t>
  </si>
  <si>
    <t>rc_tobc_smk_any</t>
  </si>
  <si>
    <t>Smokes any type of tobacco</t>
  </si>
  <si>
    <t>nt_wm_any_anem</t>
  </si>
  <si>
    <t>Any anemia - women</t>
  </si>
  <si>
    <t>nt_wm_mild_anem</t>
  </si>
  <si>
    <t>Mild anemia - women</t>
  </si>
  <si>
    <t>nt_wm_mod_anem</t>
  </si>
  <si>
    <t>Moderate anemia - women</t>
  </si>
  <si>
    <t>nt_wm_sev_anem</t>
  </si>
  <si>
    <t>Severe anemia - women</t>
  </si>
  <si>
    <t>Height under 145cm - women</t>
  </si>
  <si>
    <t>nt_wm_norm</t>
  </si>
  <si>
    <t>Normal BMI - women</t>
  </si>
  <si>
    <t>nt_wm_thin</t>
  </si>
  <si>
    <t>Thin BMI - women</t>
  </si>
  <si>
    <t>nt_wm_mthin</t>
  </si>
  <si>
    <t>Mildly thin BMI - women</t>
  </si>
  <si>
    <t>nt_wm_modsevthin</t>
  </si>
  <si>
    <t>Moderately and severely thin BMI - women</t>
  </si>
  <si>
    <t>Overweight or obese BMI - women</t>
  </si>
  <si>
    <t>nt_wm_ovwt</t>
  </si>
  <si>
    <t>Overweight BMI - women</t>
  </si>
  <si>
    <t>nt_wm_obese</t>
  </si>
  <si>
    <t>Obese BMI - women</t>
  </si>
  <si>
    <t>nt_wm_micro_iron</t>
  </si>
  <si>
    <t>Number of days women took iron supplements during last pregnancy</t>
  </si>
  <si>
    <t>nt_wm_micro_dwm</t>
  </si>
  <si>
    <t>Women who took deworming medication during last pregnancy</t>
  </si>
  <si>
    <t>ch_size_birth</t>
  </si>
  <si>
    <t>Size of child at birth as reported by mother</t>
  </si>
  <si>
    <t>Birth weight less than 2.5 kg</t>
  </si>
  <si>
    <t>ch_ari</t>
  </si>
  <si>
    <t>ARI symptoms in the 2 weeks before the survey</t>
  </si>
  <si>
    <t>ch_fever</t>
  </si>
  <si>
    <t>Fever symptoms in the 2 weeks before the survey</t>
  </si>
  <si>
    <t>nt_bf_start_1hr</t>
  </si>
  <si>
    <t>Started breastfeeding within one hour of birth - last-born in the past 2 years</t>
  </si>
  <si>
    <t>nt_bf_start_1day</t>
  </si>
  <si>
    <t>Started breastfeeding within one day of birth - last-born in the past 2 years</t>
  </si>
  <si>
    <t>nt_bf_prelac_nobirthrecord</t>
  </si>
  <si>
    <t>Received a prelacteal feed - last-born in the past 2 years ever breast fed (without birth record data)</t>
  </si>
  <si>
    <t>nt_bottle</t>
  </si>
  <si>
    <t>Drank from a bottle with a nipple yesterday - under 2 years</t>
  </si>
  <si>
    <t>nt_bf_status</t>
  </si>
  <si>
    <t>Breastfeeding status for last-born child under 2 years</t>
  </si>
  <si>
    <t>nt_ageapp_bf</t>
  </si>
  <si>
    <t>Age-appropriately breastfed - last-born under 2 years</t>
  </si>
  <si>
    <t>nt_formula</t>
  </si>
  <si>
    <t>Child given infant formula in day/night before survey - last-born under 2 years</t>
  </si>
  <si>
    <t>Child given other milk in day/night before survey- last-born under 2 years</t>
  </si>
  <si>
    <t>nt_liquids</t>
  </si>
  <si>
    <t>Child given other liquids in day/night before survey- last-born under 2 years</t>
  </si>
  <si>
    <t>Child given grains in day/night before survey- last-born under 2 years</t>
  </si>
  <si>
    <t>Child given vitamin A rich food in day/night before survey- last-born under 2 years</t>
  </si>
  <si>
    <t>Child given other fruits or vegetables in day/night before survey- last-born under 2 years</t>
  </si>
  <si>
    <t>Child given roots or tubers in day/night before survey- last-born under 2 years</t>
  </si>
  <si>
    <t>Child given legumes or nuts in day/night before survey- last-born under 2 years</t>
  </si>
  <si>
    <t>Child given meat, fish, shellfish, or poultry in day/night before survey- last-born under 2 years</t>
  </si>
  <si>
    <t>Child given eggs in day/night before survey- last-born under 2 years</t>
  </si>
  <si>
    <t>Child given cheese, yogurt, or other milk products in day/night before survey- last-born under 2 years</t>
  </si>
  <si>
    <t>nt_fed_milk</t>
  </si>
  <si>
    <t>Child given milk or milk products- last-born 6-23 months</t>
  </si>
  <si>
    <t>Child with minimum dietary diversity, 5 out of 8 food groups- last-born 6-23 months</t>
  </si>
  <si>
    <t>Child with minimum meal frequency- last-born 6-23 months</t>
  </si>
  <si>
    <t>nt_mad</t>
  </si>
  <si>
    <t>Child with minimum acceptable diet- last-born 6-23 months</t>
  </si>
  <si>
    <t>ms_mar_stat</t>
  </si>
  <si>
    <t>Current marital status</t>
  </si>
  <si>
    <t>ms_mar_union</t>
  </si>
  <si>
    <t>Currently in union</t>
  </si>
  <si>
    <t>ms_mar_never</t>
  </si>
  <si>
    <t>Never in union</t>
  </si>
  <si>
    <t>First marriage by age 15</t>
  </si>
  <si>
    <t>ms_afm_18</t>
  </si>
  <si>
    <t>First marriage by age 18</t>
  </si>
  <si>
    <t>ms_afm_20</t>
  </si>
  <si>
    <t>First marriage by age 20</t>
  </si>
  <si>
    <t>ms_afm_22</t>
  </si>
  <si>
    <t>First marriage by age 22</t>
  </si>
  <si>
    <t>ms_afm_25</t>
  </si>
  <si>
    <t>First marriage by age 25</t>
  </si>
  <si>
    <t>ms_age</t>
  </si>
  <si>
    <t>ms_afs_15</t>
  </si>
  <si>
    <t>First sex by age 15</t>
  </si>
  <si>
    <t>ms_afs_18</t>
  </si>
  <si>
    <t>First sex by age 18</t>
  </si>
  <si>
    <t>ms_afs_20</t>
  </si>
  <si>
    <t>First sex by age 20</t>
  </si>
  <si>
    <t>ms_afs_22</t>
  </si>
  <si>
    <t>First sex by age 22</t>
  </si>
  <si>
    <t>ms_afs_25</t>
  </si>
  <si>
    <t>First sex by age 25</t>
  </si>
  <si>
    <t>ms_sex_recent</t>
  </si>
  <si>
    <t>Recent sexual activity</t>
  </si>
  <si>
    <t>ch_stool_safe</t>
  </si>
  <si>
    <t>Child's stool was disposed of appropriately among youngest children under age 2 living with mother</t>
  </si>
  <si>
    <t>dm_children_under12</t>
  </si>
  <si>
    <t>Number of children under 12 years old</t>
  </si>
  <si>
    <t>dm_cooking_fuel</t>
  </si>
  <si>
    <t>type of cooking fuel</t>
  </si>
  <si>
    <t>using traditional cooking fuel</t>
  </si>
  <si>
    <t>dm_dvjustify_burn</t>
  </si>
  <si>
    <t>Agree that husband is justified in hitting or beating his wife if she burns food</t>
  </si>
  <si>
    <t>dm_dvjustify_argue</t>
  </si>
  <si>
    <t>Agree that husband is justified in hitting or beating his wife if she argues with him</t>
  </si>
  <si>
    <t>dm_dvjustify_goout</t>
  </si>
  <si>
    <t>Agree that husband is justified in hitting or beating his wife if she goes out without telling him</t>
  </si>
  <si>
    <t>dm_dvjustify_neglect</t>
  </si>
  <si>
    <t>Agree that husband is justified in hitting or beating his wife if she neglects the children</t>
  </si>
  <si>
    <t>dm_dvjustify_refusesex</t>
  </si>
  <si>
    <t>Agree that husband is justified in hitting or beating his wife if she refuses to have sexual intercourse with him</t>
  </si>
  <si>
    <t>Agree that husband is justified in hitting or beating his wife for at least one of the reasons</t>
  </si>
  <si>
    <t>dm_justify_refusesex</t>
  </si>
  <si>
    <t>Believe a woman is justified to refuse sex with her husband if she knows he's having sex with other women</t>
  </si>
  <si>
    <t>dm_rural</t>
  </si>
  <si>
    <t>living in rural area</t>
  </si>
  <si>
    <t>dm_town</t>
  </si>
  <si>
    <t>living in small town</t>
  </si>
  <si>
    <t>living in medium city</t>
  </si>
  <si>
    <t>dm_capital</t>
  </si>
  <si>
    <t>living in capital city</t>
  </si>
  <si>
    <t>dm_weath_index</t>
  </si>
  <si>
    <t>wealth index (normalized score)</t>
  </si>
  <si>
    <t>agricultural land (hectare)</t>
  </si>
  <si>
    <t>dm_cattle_own</t>
  </si>
  <si>
    <t>owns cattle</t>
  </si>
  <si>
    <t>dm_goat_own</t>
  </si>
  <si>
    <t>owns goats</t>
  </si>
  <si>
    <t>dm_sheep_own</t>
  </si>
  <si>
    <t>owns sheep</t>
  </si>
  <si>
    <t>dm_poultry_own</t>
  </si>
  <si>
    <t>owns poultry</t>
  </si>
  <si>
    <t>owns refrigerator</t>
  </si>
  <si>
    <t>dm_female_headed</t>
  </si>
  <si>
    <t>female headed household</t>
  </si>
  <si>
    <t>dm_age_of_hh_head</t>
  </si>
  <si>
    <t>Age of head of household</t>
  </si>
  <si>
    <t>ph_electric</t>
  </si>
  <si>
    <t>Have electricity</t>
  </si>
  <si>
    <t>ph_floor</t>
  </si>
  <si>
    <t>Flooring material</t>
  </si>
  <si>
    <t>ph_rooms_sleep</t>
  </si>
  <si>
    <t>Rooms for sleeping</t>
  </si>
  <si>
    <t>ph_cook_place</t>
  </si>
  <si>
    <t>Place for cooking</t>
  </si>
  <si>
    <t>ph_cook_fuel</t>
  </si>
  <si>
    <t>Type of cooking fuel</t>
  </si>
  <si>
    <t>ph_cook_solid</t>
  </si>
  <si>
    <t>Using solid fuel for cooking</t>
  </si>
  <si>
    <t>ph_cook_clean</t>
  </si>
  <si>
    <t>Using clean fuel for cooking</t>
  </si>
  <si>
    <t>ph_radio</t>
  </si>
  <si>
    <t>Owns a radio</t>
  </si>
  <si>
    <t>ph_tv</t>
  </si>
  <si>
    <t>Owns a TV</t>
  </si>
  <si>
    <t>ph_mobile</t>
  </si>
  <si>
    <t>Owns a mobile phone</t>
  </si>
  <si>
    <t>ph_tel</t>
  </si>
  <si>
    <t>Owns a non-mobile telephone</t>
  </si>
  <si>
    <t>ph_frig</t>
  </si>
  <si>
    <t>Owns a refrigerator</t>
  </si>
  <si>
    <t>ph_bike</t>
  </si>
  <si>
    <t>Owns a bicycle</t>
  </si>
  <si>
    <t>ph_cart</t>
  </si>
  <si>
    <t>Owns an animal drawn cart</t>
  </si>
  <si>
    <t>ph_moto</t>
  </si>
  <si>
    <t>Owns a motorcycle/scooter</t>
  </si>
  <si>
    <t>ph_car</t>
  </si>
  <si>
    <t>Owns a car or truck</t>
  </si>
  <si>
    <t>ph_boat</t>
  </si>
  <si>
    <t>Owns a boat with a motor</t>
  </si>
  <si>
    <t>ph_agriland</t>
  </si>
  <si>
    <t>Owns agricultural land</t>
  </si>
  <si>
    <t>ph_animals</t>
  </si>
  <si>
    <t>Owns livestock or farm animals</t>
  </si>
  <si>
    <t>ph_sani_type</t>
  </si>
  <si>
    <t>Type of toilet facility</t>
  </si>
  <si>
    <t>ph_sani_improve</t>
  </si>
  <si>
    <t>Improved sanitation</t>
  </si>
  <si>
    <t>ph_sani_improve_dummy</t>
  </si>
  <si>
    <t>Improved sanitation (dummy)</t>
  </si>
  <si>
    <t>ph_sani_open</t>
  </si>
  <si>
    <t>Open defecation (dummy)</t>
  </si>
  <si>
    <t>ph_sani_basic</t>
  </si>
  <si>
    <t>Basic or limited sanitation</t>
  </si>
  <si>
    <t>ph_wtr_trt_boil</t>
  </si>
  <si>
    <t>Treated water by boiling before drinking</t>
  </si>
  <si>
    <t>ph_wtr_trt_chlor</t>
  </si>
  <si>
    <t>Treated water by adding bleach or chlorine before drinking</t>
  </si>
  <si>
    <t>Treated water by straining through cloth before drinking</t>
  </si>
  <si>
    <t>ph_wtr_trt_filt</t>
  </si>
  <si>
    <t>Treated water by ceramic, sand, or other filter before) drinking</t>
  </si>
  <si>
    <t>ph_wtr_trt_solar</t>
  </si>
  <si>
    <t>Treated water by solar disinfection</t>
  </si>
  <si>
    <t>ph_wtr_trt_stand</t>
  </si>
  <si>
    <t>Treated water by letting stand and settle before drinking</t>
  </si>
  <si>
    <t>ph_wtr_trt_other</t>
  </si>
  <si>
    <t>Treated water by other means before drinking</t>
  </si>
  <si>
    <t>ph_wtr_trt_none</t>
  </si>
  <si>
    <t>Did not treat water before drinking</t>
  </si>
  <si>
    <t>ph_wtr_trt_appr</t>
  </si>
  <si>
    <t>Appropriately treated water before drinking</t>
  </si>
  <si>
    <t>ph_wtr_time</t>
  </si>
  <si>
    <t>Round trip time to obtain water</t>
  </si>
  <si>
    <t>ph_wtr_source</t>
  </si>
  <si>
    <t>Source of drinking water</t>
  </si>
  <si>
    <t>ph_wtr_improve</t>
  </si>
  <si>
    <t>Improved Water Source</t>
  </si>
  <si>
    <t>ph_wtr_basic</t>
  </si>
  <si>
    <t>Basic or limited water services</t>
  </si>
  <si>
    <t>nt_ch_mild_anem</t>
  </si>
  <si>
    <t>Mild anemia - child 6-59 months</t>
  </si>
  <si>
    <t>juntos_non_participation</t>
  </si>
  <si>
    <t>juntos_participation</t>
  </si>
  <si>
    <t>juntos_amount</t>
  </si>
  <si>
    <t>Total Amount received from JUNTOS program (in PEN)</t>
  </si>
  <si>
    <t>more than 3 child under 12</t>
  </si>
  <si>
    <t>own a sheep</t>
  </si>
  <si>
    <t>water fetching over 30min</t>
  </si>
  <si>
    <t>HH head over 29</t>
  </si>
  <si>
    <t>open defication</t>
  </si>
  <si>
    <t>stool improper handling</t>
  </si>
  <si>
    <t>ch_stool_safe_no1</t>
  </si>
  <si>
    <t>dm_sani_open_yes1</t>
  </si>
  <si>
    <t>dm_hh_head_30plus1</t>
  </si>
  <si>
    <t>ph_wtr_far1</t>
  </si>
  <si>
    <t>dm_sheeep_own1</t>
  </si>
  <si>
    <t>dm_child_more_than31</t>
  </si>
  <si>
    <t>analysis_grptreat_post</t>
  </si>
  <si>
    <t>analysis_grpcontrol_post(&gt;=2009)</t>
  </si>
  <si>
    <t>analysis_grptreat_pre</t>
  </si>
  <si>
    <t>ph_wtr_trt_cloth1</t>
  </si>
  <si>
    <t>dm_city1</t>
  </si>
  <si>
    <t>dm_dvjustify_onereas1</t>
  </si>
  <si>
    <t>dm_cooking_fuel_traditional1</t>
  </si>
  <si>
    <t>ms_afm_151</t>
  </si>
  <si>
    <t>nt_mmf1</t>
  </si>
  <si>
    <t>nt_mdd1</t>
  </si>
  <si>
    <t>nt_dairy1</t>
  </si>
  <si>
    <t>nt_eggs1</t>
  </si>
  <si>
    <t>nt_meatfish1</t>
  </si>
  <si>
    <t>nt_nuts1</t>
  </si>
  <si>
    <t>nt_root1</t>
  </si>
  <si>
    <t>nt_frtveg1</t>
  </si>
  <si>
    <t>nt_vita1</t>
  </si>
  <si>
    <t>nt_grains1</t>
  </si>
  <si>
    <t>nt_milk1</t>
  </si>
  <si>
    <t>rc_edu_acceptable1</t>
  </si>
  <si>
    <t>year2016</t>
  </si>
  <si>
    <t>year2015</t>
  </si>
  <si>
    <t>year2014</t>
  </si>
  <si>
    <t>year2013</t>
  </si>
  <si>
    <t>year2012</t>
  </si>
  <si>
    <t>year2011</t>
  </si>
  <si>
    <t>year2010</t>
  </si>
  <si>
    <t>year2009</t>
  </si>
  <si>
    <t>year2008</t>
  </si>
  <si>
    <t>rh_prob_permit1</t>
  </si>
  <si>
    <t>rh_anc_pvskill1</t>
  </si>
  <si>
    <t>rh_anc_pvskill0</t>
  </si>
  <si>
    <t>vars</t>
    <phoneticPr fontId="1"/>
  </si>
  <si>
    <t>label</t>
    <phoneticPr fontId="1"/>
  </si>
  <si>
    <t>var_type</t>
    <phoneticPr fontId="1"/>
  </si>
  <si>
    <t>med</t>
    <phoneticPr fontId="1"/>
  </si>
  <si>
    <t>remove</t>
    <phoneticPr fontId="1"/>
  </si>
  <si>
    <t>control</t>
    <phoneticPr fontId="1"/>
  </si>
  <si>
    <t>age of mother</t>
    <phoneticPr fontId="1"/>
  </si>
  <si>
    <t>md</t>
    <phoneticPr fontId="1"/>
  </si>
  <si>
    <t>analysis_grp: treat_pre (crecer)</t>
    <phoneticPr fontId="1"/>
  </si>
  <si>
    <t>analysis_grp: control_post(&gt;=2009) (crecer)</t>
    <phoneticPr fontId="1"/>
  </si>
  <si>
    <t>analysis_grp: treat_post (crecer)</t>
    <phoneticPr fontId="1"/>
  </si>
  <si>
    <t>treatment</t>
    <phoneticPr fontId="1"/>
  </si>
  <si>
    <t>med_type</t>
    <phoneticPr fontId="1"/>
  </si>
  <si>
    <t>Maternal and newborn health care</t>
  </si>
  <si>
    <t>Maternal and newborn health care</t>
    <phoneticPr fontId="1"/>
  </si>
  <si>
    <t>child feeding practice</t>
    <phoneticPr fontId="1"/>
  </si>
  <si>
    <t>WASH practice</t>
    <phoneticPr fontId="1"/>
  </si>
  <si>
    <t>WASH practice(narrow down)</t>
    <phoneticPr fontId="1"/>
  </si>
  <si>
    <t>Maternal and newborn health care (narrow down)</t>
    <phoneticPr fontId="1"/>
  </si>
  <si>
    <t>Maternal and newborn health care(duplicate)</t>
    <phoneticPr fontId="1"/>
  </si>
  <si>
    <t>med_adopt</t>
    <phoneticPr fontId="1"/>
  </si>
  <si>
    <t>Maternal and newborn health care (duplicate)</t>
    <phoneticPr fontId="1"/>
  </si>
  <si>
    <t>child feeding practice(duplicate)</t>
    <phoneticPr fontId="1"/>
  </si>
  <si>
    <t>control_priority</t>
    <phoneticPr fontId="1"/>
  </si>
  <si>
    <t>labels</t>
  </si>
  <si>
    <t>lambda.min</t>
  </si>
  <si>
    <t>labels.y</t>
  </si>
  <si>
    <t>nt_wm_htYes</t>
  </si>
  <si>
    <t>dm_refrigeratorYes</t>
  </si>
  <si>
    <t>nt_wm_ovobeseYes</t>
  </si>
  <si>
    <t>dm_cooking_fuel_traditionalYes</t>
  </si>
  <si>
    <t>Tipo de servicio higiénico</t>
  </si>
  <si>
    <t>nt_grainsYes</t>
  </si>
  <si>
    <t>rh_prob_permitYes</t>
  </si>
  <si>
    <t>nt_dairyYes</t>
  </si>
  <si>
    <t>ph_wtr_trt_clothyes</t>
  </si>
  <si>
    <t>nt_milkYes</t>
  </si>
  <si>
    <t>nt_mddYes</t>
  </si>
  <si>
    <t>ms_afm_15Yes</t>
  </si>
  <si>
    <t>nt_eggsYes</t>
  </si>
  <si>
    <t>dm_dvjustify_onereasYes</t>
  </si>
  <si>
    <t>rh_anc_pvskillNo</t>
  </si>
  <si>
    <t>nt_mmfYes</t>
  </si>
  <si>
    <t>nt_rootYes</t>
  </si>
  <si>
    <t>nt_nutsYes</t>
  </si>
  <si>
    <t>nt_frtvegYes</t>
  </si>
  <si>
    <t>rh_anc_pvskillYes</t>
  </si>
  <si>
    <t>label_old</t>
    <phoneticPr fontId="1"/>
  </si>
  <si>
    <t>nt_wm_ht1</t>
    <phoneticPr fontId="1"/>
  </si>
  <si>
    <t>ch_below_2p51</t>
    <phoneticPr fontId="1"/>
  </si>
  <si>
    <t>dm_refrigerator1</t>
    <phoneticPr fontId="1"/>
  </si>
  <si>
    <t>nt_wm_ovobese1</t>
    <phoneticPr fontId="1"/>
  </si>
  <si>
    <t>dm_cityYes</t>
    <phoneticPr fontId="1"/>
  </si>
  <si>
    <t>dm_city1</t>
    <phoneticPr fontId="1"/>
  </si>
  <si>
    <t>dm_cooking_fuel_traditional1</t>
    <phoneticPr fontId="1"/>
  </si>
  <si>
    <t>adopt</t>
    <phoneticPr fontId="1"/>
  </si>
  <si>
    <t>ch_below_2p5Yes</t>
    <phoneticPr fontId="1"/>
  </si>
  <si>
    <t>ph_sani_improve_dummy</t>
    <phoneticPr fontId="1"/>
  </si>
  <si>
    <t>ph_wtr_improve</t>
    <phoneticPr fontId="1"/>
  </si>
  <si>
    <t>ph_moto</t>
    <phoneticPr fontId="1"/>
  </si>
  <si>
    <t>variable</t>
    <phoneticPr fontId="1"/>
  </si>
  <si>
    <t>id</t>
    <phoneticPr fontId="1"/>
  </si>
  <si>
    <t>ch_below_2p5</t>
  </si>
  <si>
    <t>dm_cooking_fuel_traditional</t>
  </si>
  <si>
    <t>ms_afm_15</t>
  </si>
  <si>
    <t>nt_dairy</t>
  </si>
  <si>
    <t>nt_eggs</t>
  </si>
  <si>
    <t>nt_frtveg</t>
  </si>
  <si>
    <t>nt_grains</t>
  </si>
  <si>
    <t>nt_nuts</t>
  </si>
  <si>
    <t>nt_root</t>
  </si>
  <si>
    <t>nt_wm_ht</t>
  </si>
  <si>
    <t>nt_wm_ovobese</t>
  </si>
  <si>
    <t>rh_anc_pvskill</t>
  </si>
  <si>
    <t>dm_sani_open_yes</t>
    <phoneticPr fontId="1"/>
  </si>
  <si>
    <t>ch_stool_safe_no</t>
    <phoneticPr fontId="1"/>
  </si>
  <si>
    <t>ph_wtr_improve_dummy</t>
    <phoneticPr fontId="1"/>
  </si>
  <si>
    <t>rc_edu_acceptable</t>
    <phoneticPr fontId="1"/>
  </si>
  <si>
    <t>ph_wtr_trt_none</t>
    <phoneticPr fontId="1"/>
  </si>
  <si>
    <t>ph_wtr_far</t>
    <phoneticPr fontId="1"/>
  </si>
  <si>
    <t>dm_hh_head_30plus</t>
    <phoneticPr fontId="1"/>
  </si>
  <si>
    <t>dm_child_more_than3</t>
    <phoneticPr fontId="1"/>
  </si>
  <si>
    <t>rc_agri_yes</t>
    <phoneticPr fontId="1"/>
  </si>
  <si>
    <t>dm_sheeep_own</t>
    <phoneticPr fontId="1"/>
  </si>
  <si>
    <t>re_anc_4vs</t>
    <phoneticPr fontId="1"/>
  </si>
  <si>
    <t>Attended 4+ ANC</t>
    <phoneticPr fontId="1"/>
  </si>
  <si>
    <t>Did not treat water before drinking</t>
    <phoneticPr fontId="1"/>
  </si>
  <si>
    <t>water fetching over 30min</t>
    <phoneticPr fontId="1"/>
  </si>
  <si>
    <t>Child with minimum dietary diversity, 5 out of 8 food groups-last-born 6-23 months</t>
    <phoneticPr fontId="1"/>
  </si>
  <si>
    <t>nt_mdd</t>
    <phoneticPr fontId="1"/>
  </si>
  <si>
    <t>Child given meat, fish, shellfish, or poultry in day/night before survey- last-born under 2 years</t>
    <phoneticPr fontId="1"/>
  </si>
  <si>
    <t>nt_meatfish</t>
    <phoneticPr fontId="1"/>
  </si>
  <si>
    <t>Child given other milk in day/night before survey-last-born under 2</t>
    <phoneticPr fontId="1"/>
  </si>
  <si>
    <t>nt_milk</t>
    <phoneticPr fontId="1"/>
  </si>
  <si>
    <t>nt_vita</t>
    <phoneticPr fontId="1"/>
  </si>
  <si>
    <t>Child given vitamin A rich food in day/night before survey- last-born under 2 years</t>
    <phoneticPr fontId="1"/>
  </si>
  <si>
    <t>type</t>
    <phoneticPr fontId="1"/>
  </si>
  <si>
    <t>(MD) Caring practice</t>
    <phoneticPr fontId="1"/>
  </si>
  <si>
    <t>(Con) health status</t>
    <phoneticPr fontId="1"/>
  </si>
  <si>
    <t>(Con) health service</t>
    <phoneticPr fontId="1"/>
  </si>
  <si>
    <t>dm_ag_land_ha</t>
    <phoneticPr fontId="1"/>
  </si>
  <si>
    <t>(MD) Feeding practice</t>
  </si>
  <si>
    <t>(MD) Feeding practice</t>
    <phoneticPr fontId="1"/>
  </si>
  <si>
    <t>(MD) WASH practice</t>
    <phoneticPr fontId="1"/>
  </si>
  <si>
    <t>(Con) water &amp; hygiene</t>
    <phoneticPr fontId="1"/>
  </si>
  <si>
    <t>(Con) social env</t>
    <phoneticPr fontId="1"/>
  </si>
  <si>
    <t>(Con) Assets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</si>
</sst>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6"/>
      <name val="Tsukushi A Round Gothic Bold"/>
      <family val="3"/>
      <charset val="128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/>
    <xf numFmtId="0" fontId="2" fillId="0" borderId="11" xfId="0" applyFont="1" applyBorder="1"/>
    <xf numFmtId="0" fontId="0" fillId="0" borderId="1" xfId="0" applyFill="1" applyBorder="1"/>
    <xf numFmtId="0" fontId="0" fillId="0" borderId="0" xfId="0" applyNumberFormat="1"/>
    <xf numFmtId="0" fontId="2" fillId="0" borderId="11" xfId="0" applyNumberFormat="1" applyFont="1" applyBorder="1"/>
    <xf numFmtId="0" fontId="2" fillId="0" borderId="0" xfId="0" applyFont="1" applyBorder="1"/>
    <xf numFmtId="0" fontId="3" fillId="3" borderId="0" xfId="0" applyFont="1" applyFill="1" applyBorder="1"/>
    <xf numFmtId="0" fontId="2" fillId="4" borderId="11" xfId="0" applyFont="1" applyFill="1" applyBorder="1"/>
    <xf numFmtId="0" fontId="2" fillId="5" borderId="11" xfId="0" applyFont="1" applyFill="1" applyBorder="1"/>
    <xf numFmtId="0" fontId="2" fillId="5" borderId="11" xfId="0" applyNumberFormat="1" applyFont="1" applyFill="1" applyBorder="1"/>
    <xf numFmtId="0" fontId="2" fillId="6" borderId="11" xfId="0" applyFont="1" applyFill="1" applyBorder="1"/>
    <xf numFmtId="0" fontId="2" fillId="7" borderId="11" xfId="0" applyFont="1" applyFill="1" applyBorder="1"/>
    <xf numFmtId="0" fontId="2" fillId="8" borderId="11" xfId="0" applyFont="1" applyFill="1" applyBorder="1"/>
  </cellXfs>
  <cellStyles count="1">
    <cellStyle name="標準" xfId="0" builtinId="0"/>
  </cellStyles>
  <dxfs count="24"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 patternType="solid">
          <fgColor auto="1"/>
          <bgColor rgb="FFFFFF00"/>
        </patternFill>
      </fill>
    </dxf>
    <dxf>
      <font>
        <color theme="1"/>
      </font>
      <fill>
        <patternFill patternType="solid">
          <fgColor auto="1"/>
          <bgColor rgb="FFFFFF00"/>
        </patternFill>
      </fill>
    </dxf>
    <dxf>
      <font>
        <color theme="1"/>
      </font>
      <fill>
        <patternFill patternType="solid">
          <fgColor auto="1"/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>
          <fgColor indexed="64"/>
          <bgColor theme="1" tint="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top style="thin">
          <color theme="1"/>
        </top>
      </border>
    </dxf>
    <dxf>
      <numFmt numFmtId="0" formatCode="General"/>
    </dxf>
    <dxf>
      <numFmt numFmtId="0" formatCode="General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A81ED0-2D2C-E845-8260-8634273E0768}" name="tbl_main" displayName="tbl_main" ref="A1:F176" totalsRowShown="0" headerRowDxfId="14" headerRowBorderDxfId="22" tableBorderDxfId="23" totalsRowBorderDxfId="21">
  <autoFilter ref="A1:F176" xr:uid="{5CA81ED0-2D2C-E845-8260-8634273E0768}"/>
  <tableColumns count="6">
    <tableColumn id="1" xr3:uid="{7B9C46F8-265B-CE43-9285-2E015FE36083}" name="vars" dataDxfId="20"/>
    <tableColumn id="2" xr3:uid="{D744AFC2-3D5F-0548-9002-F1FDAF1C1605}" name="label" dataDxfId="19"/>
    <tableColumn id="3" xr3:uid="{3ECB0FB8-0E47-1948-AF2D-2AA3E08A4842}" name="var_type" dataDxfId="18"/>
    <tableColumn id="4" xr3:uid="{834043F6-35C3-ED4D-9C2B-702972E805AF}" name="med_type" dataDxfId="17"/>
    <tableColumn id="5" xr3:uid="{E699F4A7-16B3-444F-A28A-5482CE76C204}" name="med_adopt" dataDxfId="16"/>
    <tableColumn id="6" xr3:uid="{664FA1E0-CD4E-684C-9272-FC24345C89E8}" name="control_priority" dataDxfId="1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66DA5A-6DFA-ED49-832F-C73C2D892FA0}" name="tbl_add2005" displayName="tbl_add2005" ref="A1:E80" totalsRowShown="0">
  <autoFilter ref="A1:E80" xr:uid="{00000000-0001-0000-0000-000000000000}"/>
  <sortState xmlns:xlrd2="http://schemas.microsoft.com/office/spreadsheetml/2017/richdata2" ref="A2:E80">
    <sortCondition ref="A1:A80"/>
  </sortState>
  <tableColumns count="5">
    <tableColumn id="1" xr3:uid="{46E41127-5C8A-F94A-8287-E41B9D621F3D}" name="labels"/>
    <tableColumn id="5" xr3:uid="{F24FA7A5-DE34-9C42-BCC0-91304F147658}" name="label_old" dataDxfId="13"/>
    <tableColumn id="2" xr3:uid="{1B6F661D-4FDF-3B49-8B44-B2C2EA0B66E2}" name="adopt" dataDxfId="12">
      <calculatedColumnFormula>SUMIFS(tbl_main[med_adopt],tbl_main[vars],tbl_add2005[[#This Row],[label_old]])+SUMIFS(tbl_main[control_priority],tbl_main[vars],tbl_add2005[[#This Row],[label_old]])</calculatedColumnFormula>
    </tableColumn>
    <tableColumn id="3" xr3:uid="{0F796F9D-5F23-7942-A987-8C3CB33FB9AD}" name="lambda.min"/>
    <tableColumn id="4" xr3:uid="{0D5D78EE-3F14-BA4B-ABD7-3839648E314B}" name="labels.y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B8C10E-2666-AE47-B290-C7720553C339}" name="tbl_variable" displayName="tbl_variable" ref="A2:D43" totalsRowShown="0" headerRowDxfId="7" dataDxfId="8" tableBorderDxfId="11">
  <autoFilter ref="A2:D43" xr:uid="{94B8C10E-2666-AE47-B290-C7720553C339}"/>
  <sortState xmlns:xlrd2="http://schemas.microsoft.com/office/spreadsheetml/2017/richdata2" ref="A3:D43">
    <sortCondition ref="A2:A43"/>
  </sortState>
  <tableColumns count="4">
    <tableColumn id="4" xr3:uid="{CFE7CB93-1558-0442-A8EC-F744F288C736}" name="id" dataDxfId="5"/>
    <tableColumn id="1" xr3:uid="{6B6309B7-42BA-C244-9426-15749E330EA6}" name="variable" dataDxfId="10"/>
    <tableColumn id="2" xr3:uid="{37695F95-A903-8D4D-A9D6-4E5C33D402D2}" name="type" dataDxfId="9"/>
    <tableColumn id="3" xr3:uid="{FA60CC08-53B3-2540-BCBB-17487018424C}" name="label" dataDxfId="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2F66-BC3C-9340-9F4B-3EF1A9A3178B}">
  <dimension ref="A1:F176"/>
  <sheetViews>
    <sheetView topLeftCell="B104" zoomScale="140" zoomScaleNormal="140" workbookViewId="0">
      <selection activeCell="B118" sqref="B118"/>
    </sheetView>
  </sheetViews>
  <sheetFormatPr baseColWidth="10" defaultRowHeight="15"/>
  <cols>
    <col min="1" max="1" width="40.1640625" bestFit="1" customWidth="1"/>
    <col min="2" max="2" width="90.6640625" bestFit="1" customWidth="1"/>
    <col min="4" max="4" width="42.5" bestFit="1" customWidth="1"/>
    <col min="6" max="6" width="14.5" bestFit="1" customWidth="1"/>
  </cols>
  <sheetData>
    <row r="1" spans="1:6">
      <c r="A1" s="5" t="s">
        <v>327</v>
      </c>
      <c r="B1" s="6" t="s">
        <v>328</v>
      </c>
      <c r="C1" s="6" t="s">
        <v>329</v>
      </c>
      <c r="D1" s="6" t="s">
        <v>339</v>
      </c>
      <c r="E1" s="6" t="s">
        <v>347</v>
      </c>
      <c r="F1" s="7" t="s">
        <v>350</v>
      </c>
    </row>
    <row r="2" spans="1:6">
      <c r="A2" s="3" t="s">
        <v>0</v>
      </c>
      <c r="B2" s="1" t="s">
        <v>1</v>
      </c>
      <c r="C2" s="1" t="s">
        <v>332</v>
      </c>
      <c r="D2" s="1"/>
      <c r="E2" s="1"/>
      <c r="F2" s="4"/>
    </row>
    <row r="3" spans="1:6">
      <c r="A3" s="3" t="s">
        <v>326</v>
      </c>
      <c r="B3" s="1" t="s">
        <v>2</v>
      </c>
      <c r="C3" s="1" t="s">
        <v>332</v>
      </c>
      <c r="D3" s="1"/>
      <c r="E3" s="1"/>
      <c r="F3" s="4"/>
    </row>
    <row r="4" spans="1:6">
      <c r="A4" s="3" t="s">
        <v>325</v>
      </c>
      <c r="B4" s="1" t="s">
        <v>2</v>
      </c>
      <c r="C4" s="1" t="s">
        <v>332</v>
      </c>
      <c r="D4" s="1"/>
      <c r="E4" s="1"/>
      <c r="F4" s="4">
        <v>1</v>
      </c>
    </row>
    <row r="5" spans="1:6">
      <c r="A5" s="3" t="s">
        <v>3</v>
      </c>
      <c r="B5" s="1" t="s">
        <v>4</v>
      </c>
      <c r="C5" s="1" t="s">
        <v>330</v>
      </c>
      <c r="D5" s="13" t="s">
        <v>340</v>
      </c>
      <c r="E5" s="1"/>
      <c r="F5" s="4"/>
    </row>
    <row r="6" spans="1:6">
      <c r="A6" s="3" t="s">
        <v>5</v>
      </c>
      <c r="B6" s="1" t="s">
        <v>6</v>
      </c>
      <c r="C6" s="1" t="s">
        <v>330</v>
      </c>
      <c r="D6" s="2" t="s">
        <v>340</v>
      </c>
      <c r="E6" s="1">
        <v>1</v>
      </c>
      <c r="F6" s="4"/>
    </row>
    <row r="7" spans="1:6">
      <c r="A7" s="3" t="s">
        <v>7</v>
      </c>
      <c r="B7" s="1" t="s">
        <v>8</v>
      </c>
      <c r="C7" s="1" t="s">
        <v>330</v>
      </c>
      <c r="D7" s="13" t="s">
        <v>346</v>
      </c>
      <c r="E7" s="1"/>
      <c r="F7" s="4"/>
    </row>
    <row r="8" spans="1:6">
      <c r="A8" s="3" t="s">
        <v>9</v>
      </c>
      <c r="B8" s="1" t="s">
        <v>10</v>
      </c>
      <c r="C8" s="1" t="s">
        <v>330</v>
      </c>
      <c r="D8" s="2" t="s">
        <v>341</v>
      </c>
      <c r="E8" s="1">
        <v>1</v>
      </c>
      <c r="F8" s="4"/>
    </row>
    <row r="9" spans="1:6">
      <c r="A9" s="3" t="s">
        <v>11</v>
      </c>
      <c r="B9" s="1" t="s">
        <v>12</v>
      </c>
      <c r="C9" s="1" t="s">
        <v>331</v>
      </c>
      <c r="D9" s="1"/>
      <c r="E9" s="1"/>
      <c r="F9" s="4"/>
    </row>
    <row r="10" spans="1:6">
      <c r="A10" s="3" t="s">
        <v>13</v>
      </c>
      <c r="B10" s="1" t="s">
        <v>14</v>
      </c>
      <c r="C10" s="1" t="s">
        <v>330</v>
      </c>
      <c r="D10" s="1" t="s">
        <v>348</v>
      </c>
      <c r="E10" s="1"/>
      <c r="F10" s="4"/>
    </row>
    <row r="11" spans="1:6">
      <c r="A11" s="3" t="s">
        <v>15</v>
      </c>
      <c r="B11" s="1" t="s">
        <v>16</v>
      </c>
      <c r="C11" s="1" t="s">
        <v>330</v>
      </c>
      <c r="D11" s="1" t="s">
        <v>346</v>
      </c>
      <c r="E11" s="1"/>
      <c r="F11" s="4"/>
    </row>
    <row r="12" spans="1:6">
      <c r="A12" s="3" t="s">
        <v>17</v>
      </c>
      <c r="B12" s="1" t="s">
        <v>18</v>
      </c>
      <c r="C12" s="1" t="s">
        <v>332</v>
      </c>
      <c r="D12" s="1"/>
      <c r="E12" s="1"/>
      <c r="F12" s="4"/>
    </row>
    <row r="13" spans="1:6">
      <c r="A13" s="3" t="s">
        <v>19</v>
      </c>
      <c r="B13" s="1" t="s">
        <v>20</v>
      </c>
      <c r="C13" s="1" t="s">
        <v>332</v>
      </c>
      <c r="D13" s="1"/>
      <c r="E13" s="1"/>
      <c r="F13" s="4">
        <v>1</v>
      </c>
    </row>
    <row r="14" spans="1:6">
      <c r="A14" s="3" t="s">
        <v>21</v>
      </c>
      <c r="B14" s="1" t="s">
        <v>22</v>
      </c>
      <c r="C14" s="1" t="s">
        <v>332</v>
      </c>
      <c r="D14" s="1"/>
      <c r="E14" s="1"/>
      <c r="F14" s="4">
        <v>1</v>
      </c>
    </row>
    <row r="15" spans="1:6">
      <c r="A15" s="3" t="s">
        <v>23</v>
      </c>
      <c r="B15" s="1" t="s">
        <v>24</v>
      </c>
      <c r="C15" s="1" t="s">
        <v>332</v>
      </c>
      <c r="D15" s="1"/>
      <c r="E15" s="1"/>
      <c r="F15" s="4">
        <v>1</v>
      </c>
    </row>
    <row r="16" spans="1:6">
      <c r="A16" s="3" t="s">
        <v>25</v>
      </c>
      <c r="B16" s="1" t="s">
        <v>26</v>
      </c>
      <c r="C16" s="1" t="s">
        <v>332</v>
      </c>
      <c r="D16" s="1"/>
      <c r="E16" s="1"/>
      <c r="F16" s="4"/>
    </row>
    <row r="17" spans="1:6">
      <c r="A17" s="3" t="s">
        <v>324</v>
      </c>
      <c r="B17" s="1" t="s">
        <v>27</v>
      </c>
      <c r="C17" s="1" t="s">
        <v>332</v>
      </c>
      <c r="D17" s="1"/>
      <c r="E17" s="1"/>
      <c r="F17" s="4"/>
    </row>
    <row r="18" spans="1:6">
      <c r="A18" s="3" t="s">
        <v>28</v>
      </c>
      <c r="B18" s="1" t="s">
        <v>29</v>
      </c>
      <c r="C18" s="1" t="s">
        <v>332</v>
      </c>
      <c r="D18" s="1"/>
      <c r="E18" s="1"/>
      <c r="F18" s="4"/>
    </row>
    <row r="19" spans="1:6">
      <c r="A19" s="3" t="s">
        <v>30</v>
      </c>
      <c r="B19" s="1" t="s">
        <v>31</v>
      </c>
      <c r="C19" s="1" t="s">
        <v>332</v>
      </c>
      <c r="D19" s="1"/>
      <c r="E19" s="1"/>
      <c r="F19" s="4"/>
    </row>
    <row r="20" spans="1:6">
      <c r="A20" s="3" t="s">
        <v>32</v>
      </c>
      <c r="B20" s="1" t="s">
        <v>33</v>
      </c>
      <c r="C20" s="1" t="s">
        <v>332</v>
      </c>
      <c r="D20" s="1"/>
      <c r="E20" s="1"/>
      <c r="F20" s="4"/>
    </row>
    <row r="21" spans="1:6">
      <c r="A21" s="3" t="s">
        <v>34</v>
      </c>
      <c r="B21" s="1" t="s">
        <v>35</v>
      </c>
      <c r="C21" s="1" t="s">
        <v>332</v>
      </c>
      <c r="D21" s="1"/>
      <c r="E21" s="1"/>
      <c r="F21" s="4">
        <v>1</v>
      </c>
    </row>
    <row r="22" spans="1:6">
      <c r="A22" s="3" t="s">
        <v>323</v>
      </c>
      <c r="B22" s="1" t="s">
        <v>323</v>
      </c>
      <c r="C22" s="1" t="s">
        <v>331</v>
      </c>
      <c r="D22" s="1"/>
      <c r="E22" s="1"/>
      <c r="F22" s="4"/>
    </row>
    <row r="23" spans="1:6">
      <c r="A23" s="3" t="s">
        <v>322</v>
      </c>
      <c r="B23" s="1" t="s">
        <v>322</v>
      </c>
      <c r="C23" s="1" t="s">
        <v>331</v>
      </c>
      <c r="D23" s="1"/>
      <c r="E23" s="1"/>
      <c r="F23" s="4"/>
    </row>
    <row r="24" spans="1:6">
      <c r="A24" s="3" t="s">
        <v>321</v>
      </c>
      <c r="B24" s="1" t="s">
        <v>321</v>
      </c>
      <c r="C24" s="1" t="s">
        <v>331</v>
      </c>
      <c r="D24" s="1"/>
      <c r="E24" s="1"/>
      <c r="F24" s="4"/>
    </row>
    <row r="25" spans="1:6">
      <c r="A25" s="3" t="s">
        <v>320</v>
      </c>
      <c r="B25" s="1" t="s">
        <v>320</v>
      </c>
      <c r="C25" s="1" t="s">
        <v>331</v>
      </c>
      <c r="D25" s="1"/>
      <c r="E25" s="1"/>
      <c r="F25" s="4"/>
    </row>
    <row r="26" spans="1:6">
      <c r="A26" s="3" t="s">
        <v>319</v>
      </c>
      <c r="B26" s="1" t="s">
        <v>319</v>
      </c>
      <c r="C26" s="1" t="s">
        <v>331</v>
      </c>
      <c r="D26" s="1"/>
      <c r="E26" s="1"/>
      <c r="F26" s="4"/>
    </row>
    <row r="27" spans="1:6">
      <c r="A27" s="3" t="s">
        <v>318</v>
      </c>
      <c r="B27" s="1" t="s">
        <v>318</v>
      </c>
      <c r="C27" s="1" t="s">
        <v>331</v>
      </c>
      <c r="D27" s="1"/>
      <c r="E27" s="1"/>
      <c r="F27" s="4"/>
    </row>
    <row r="28" spans="1:6">
      <c r="A28" s="3" t="s">
        <v>317</v>
      </c>
      <c r="B28" s="1" t="s">
        <v>317</v>
      </c>
      <c r="C28" s="1" t="s">
        <v>331</v>
      </c>
      <c r="D28" s="1"/>
      <c r="E28" s="1"/>
      <c r="F28" s="4"/>
    </row>
    <row r="29" spans="1:6">
      <c r="A29" s="3" t="s">
        <v>316</v>
      </c>
      <c r="B29" s="1" t="s">
        <v>316</v>
      </c>
      <c r="C29" s="1" t="s">
        <v>331</v>
      </c>
      <c r="D29" s="1"/>
      <c r="E29" s="1"/>
      <c r="F29" s="4"/>
    </row>
    <row r="30" spans="1:6">
      <c r="A30" s="3" t="s">
        <v>315</v>
      </c>
      <c r="B30" s="1" t="s">
        <v>315</v>
      </c>
      <c r="C30" s="1" t="s">
        <v>331</v>
      </c>
      <c r="D30" s="1"/>
      <c r="E30" s="1"/>
      <c r="F30" s="4"/>
    </row>
    <row r="31" spans="1:6">
      <c r="A31" s="3" t="s">
        <v>36</v>
      </c>
      <c r="B31" s="1" t="s">
        <v>37</v>
      </c>
      <c r="C31" s="1" t="s">
        <v>332</v>
      </c>
      <c r="D31" s="1"/>
      <c r="E31" s="1"/>
      <c r="F31" s="4"/>
    </row>
    <row r="32" spans="1:6">
      <c r="A32" s="3" t="s">
        <v>314</v>
      </c>
      <c r="B32" s="1" t="s">
        <v>38</v>
      </c>
      <c r="C32" s="1" t="s">
        <v>332</v>
      </c>
      <c r="D32" s="1"/>
      <c r="E32" s="1"/>
      <c r="F32" s="4">
        <v>1</v>
      </c>
    </row>
    <row r="33" spans="1:6">
      <c r="A33" s="3" t="s">
        <v>39</v>
      </c>
      <c r="B33" s="1" t="s">
        <v>40</v>
      </c>
      <c r="C33" s="1" t="s">
        <v>332</v>
      </c>
      <c r="D33" s="1"/>
      <c r="E33" s="1"/>
      <c r="F33" s="4"/>
    </row>
    <row r="34" spans="1:6">
      <c r="A34" s="3" t="s">
        <v>41</v>
      </c>
      <c r="B34" s="1" t="s">
        <v>42</v>
      </c>
      <c r="C34" s="1" t="s">
        <v>332</v>
      </c>
      <c r="D34" s="1"/>
      <c r="E34" s="1"/>
      <c r="F34" s="4"/>
    </row>
    <row r="35" spans="1:6">
      <c r="A35" s="3" t="s">
        <v>43</v>
      </c>
      <c r="B35" s="1" t="s">
        <v>44</v>
      </c>
      <c r="C35" s="1" t="s">
        <v>332</v>
      </c>
      <c r="D35" s="1"/>
      <c r="E35" s="1"/>
      <c r="F35" s="4"/>
    </row>
    <row r="36" spans="1:6">
      <c r="A36" s="3" t="s">
        <v>45</v>
      </c>
      <c r="B36" s="1" t="s">
        <v>46</v>
      </c>
      <c r="C36" s="1" t="s">
        <v>332</v>
      </c>
      <c r="D36" s="1"/>
      <c r="E36" s="1"/>
      <c r="F36" s="4"/>
    </row>
    <row r="37" spans="1:6">
      <c r="A37" s="3" t="s">
        <v>47</v>
      </c>
      <c r="B37" s="1" t="s">
        <v>48</v>
      </c>
      <c r="C37" s="1" t="s">
        <v>332</v>
      </c>
      <c r="D37" s="1"/>
      <c r="E37" s="1"/>
      <c r="F37" s="4"/>
    </row>
    <row r="38" spans="1:6">
      <c r="A38" s="3" t="s">
        <v>49</v>
      </c>
      <c r="B38" s="1" t="s">
        <v>50</v>
      </c>
      <c r="C38" s="1" t="s">
        <v>332</v>
      </c>
      <c r="D38" s="1"/>
      <c r="E38" s="1"/>
      <c r="F38" s="4"/>
    </row>
    <row r="39" spans="1:6">
      <c r="A39" s="3" t="s">
        <v>51</v>
      </c>
      <c r="B39" s="1" t="s">
        <v>52</v>
      </c>
      <c r="C39" s="1" t="s">
        <v>332</v>
      </c>
      <c r="D39" s="1"/>
      <c r="E39" s="1"/>
      <c r="F39" s="4"/>
    </row>
    <row r="40" spans="1:6">
      <c r="A40" s="3" t="s">
        <v>53</v>
      </c>
      <c r="B40" s="1" t="s">
        <v>54</v>
      </c>
      <c r="C40" s="1" t="s">
        <v>332</v>
      </c>
      <c r="D40" s="1"/>
      <c r="E40" s="1"/>
      <c r="F40" s="4">
        <v>1</v>
      </c>
    </row>
    <row r="41" spans="1:6">
      <c r="A41" s="3" t="s">
        <v>55</v>
      </c>
      <c r="B41" s="1" t="s">
        <v>56</v>
      </c>
      <c r="C41" s="1" t="s">
        <v>332</v>
      </c>
      <c r="D41" s="1"/>
      <c r="E41" s="1"/>
      <c r="F41" s="4"/>
    </row>
    <row r="42" spans="1:6">
      <c r="A42" s="3" t="s">
        <v>57</v>
      </c>
      <c r="B42" s="1" t="s">
        <v>58</v>
      </c>
      <c r="C42" s="1" t="s">
        <v>332</v>
      </c>
      <c r="D42" s="1"/>
      <c r="E42" s="1"/>
      <c r="F42" s="4">
        <v>1</v>
      </c>
    </row>
    <row r="43" spans="1:6">
      <c r="A43" s="3" t="s">
        <v>59</v>
      </c>
      <c r="B43" s="1" t="s">
        <v>60</v>
      </c>
      <c r="C43" s="1" t="s">
        <v>332</v>
      </c>
      <c r="D43" s="1" t="s">
        <v>345</v>
      </c>
      <c r="E43" s="1"/>
      <c r="F43" s="4"/>
    </row>
    <row r="44" spans="1:6">
      <c r="A44" s="3" t="s">
        <v>61</v>
      </c>
      <c r="B44" s="1" t="s">
        <v>62</v>
      </c>
      <c r="C44" s="1" t="s">
        <v>332</v>
      </c>
      <c r="D44" s="1" t="s">
        <v>345</v>
      </c>
      <c r="E44" s="1"/>
      <c r="F44" s="4"/>
    </row>
    <row r="45" spans="1:6">
      <c r="A45" s="3" t="s">
        <v>63</v>
      </c>
      <c r="B45" s="1" t="s">
        <v>64</v>
      </c>
      <c r="C45" s="1" t="s">
        <v>332</v>
      </c>
      <c r="D45" s="1" t="s">
        <v>345</v>
      </c>
      <c r="E45" s="1"/>
      <c r="F45" s="4">
        <v>1</v>
      </c>
    </row>
    <row r="46" spans="1:6">
      <c r="A46" s="3" t="s">
        <v>65</v>
      </c>
      <c r="B46" s="1" t="s">
        <v>66</v>
      </c>
      <c r="C46" s="1" t="s">
        <v>332</v>
      </c>
      <c r="D46" s="1"/>
      <c r="E46" s="1"/>
      <c r="F46" s="4"/>
    </row>
    <row r="47" spans="1:6">
      <c r="A47" s="3" t="s">
        <v>67</v>
      </c>
      <c r="B47" s="1" t="s">
        <v>68</v>
      </c>
      <c r="C47" s="1" t="s">
        <v>332</v>
      </c>
      <c r="D47" s="1"/>
      <c r="E47" s="1"/>
      <c r="F47" s="4"/>
    </row>
    <row r="48" spans="1:6">
      <c r="A48" s="3" t="s">
        <v>69</v>
      </c>
      <c r="B48" s="1" t="s">
        <v>70</v>
      </c>
      <c r="C48" s="1" t="s">
        <v>332</v>
      </c>
      <c r="D48" s="1"/>
      <c r="E48" s="1"/>
      <c r="F48" s="4">
        <v>1</v>
      </c>
    </row>
    <row r="49" spans="1:6">
      <c r="A49" s="3" t="s">
        <v>71</v>
      </c>
      <c r="B49" s="1" t="s">
        <v>72</v>
      </c>
      <c r="C49" s="1" t="s">
        <v>332</v>
      </c>
      <c r="D49" s="1"/>
      <c r="E49" s="1"/>
      <c r="F49" s="4"/>
    </row>
    <row r="50" spans="1:6">
      <c r="A50" s="3" t="s">
        <v>73</v>
      </c>
      <c r="B50" s="1" t="s">
        <v>74</v>
      </c>
      <c r="C50" s="1" t="s">
        <v>332</v>
      </c>
      <c r="D50" s="1"/>
      <c r="E50" s="1"/>
      <c r="F50" s="4"/>
    </row>
    <row r="51" spans="1:6">
      <c r="A51" s="3" t="s">
        <v>75</v>
      </c>
      <c r="B51" s="1" t="s">
        <v>76</v>
      </c>
      <c r="C51" s="1" t="s">
        <v>332</v>
      </c>
      <c r="D51" s="1"/>
      <c r="E51" s="1"/>
      <c r="F51" s="4"/>
    </row>
    <row r="52" spans="1:6">
      <c r="A52" s="3" t="s">
        <v>375</v>
      </c>
      <c r="B52" s="1" t="s">
        <v>77</v>
      </c>
      <c r="C52" s="1" t="s">
        <v>332</v>
      </c>
      <c r="D52" s="1"/>
      <c r="E52" s="1"/>
      <c r="F52" s="4">
        <v>1</v>
      </c>
    </row>
    <row r="53" spans="1:6">
      <c r="A53" s="3" t="s">
        <v>78</v>
      </c>
      <c r="B53" s="1" t="s">
        <v>79</v>
      </c>
      <c r="C53" s="1" t="s">
        <v>332</v>
      </c>
      <c r="D53" s="1"/>
      <c r="E53" s="1"/>
      <c r="F53" s="4"/>
    </row>
    <row r="54" spans="1:6">
      <c r="A54" s="3" t="s">
        <v>80</v>
      </c>
      <c r="B54" s="1" t="s">
        <v>81</v>
      </c>
      <c r="C54" s="1" t="s">
        <v>332</v>
      </c>
      <c r="D54" s="1"/>
      <c r="E54" s="1"/>
      <c r="F54" s="4"/>
    </row>
    <row r="55" spans="1:6">
      <c r="A55" s="3" t="s">
        <v>82</v>
      </c>
      <c r="B55" s="1" t="s">
        <v>83</v>
      </c>
      <c r="C55" s="1" t="s">
        <v>332</v>
      </c>
      <c r="D55" s="1"/>
      <c r="E55" s="1"/>
      <c r="F55" s="4"/>
    </row>
    <row r="56" spans="1:6">
      <c r="A56" s="3" t="s">
        <v>84</v>
      </c>
      <c r="B56" s="1" t="s">
        <v>85</v>
      </c>
      <c r="C56" s="1" t="s">
        <v>332</v>
      </c>
      <c r="D56" s="1"/>
      <c r="E56" s="1"/>
      <c r="F56" s="4"/>
    </row>
    <row r="57" spans="1:6">
      <c r="A57" s="3" t="s">
        <v>378</v>
      </c>
      <c r="B57" s="1" t="s">
        <v>86</v>
      </c>
      <c r="C57" s="1" t="s">
        <v>332</v>
      </c>
      <c r="D57" s="1"/>
      <c r="E57" s="1"/>
      <c r="F57" s="4">
        <v>1</v>
      </c>
    </row>
    <row r="58" spans="1:6">
      <c r="A58" s="3" t="s">
        <v>87</v>
      </c>
      <c r="B58" s="1" t="s">
        <v>88</v>
      </c>
      <c r="C58" s="1" t="s">
        <v>332</v>
      </c>
      <c r="D58" s="1"/>
      <c r="E58" s="1"/>
      <c r="F58" s="4"/>
    </row>
    <row r="59" spans="1:6">
      <c r="A59" s="3" t="s">
        <v>89</v>
      </c>
      <c r="B59" s="1" t="s">
        <v>90</v>
      </c>
      <c r="C59" s="1" t="s">
        <v>332</v>
      </c>
      <c r="D59" s="1"/>
      <c r="E59" s="1"/>
      <c r="F59" s="4"/>
    </row>
    <row r="60" spans="1:6">
      <c r="A60" s="3" t="s">
        <v>91</v>
      </c>
      <c r="B60" s="1" t="s">
        <v>92</v>
      </c>
      <c r="C60" s="1" t="s">
        <v>330</v>
      </c>
      <c r="D60" s="2" t="s">
        <v>341</v>
      </c>
      <c r="E60" s="1">
        <v>1</v>
      </c>
      <c r="F60" s="4"/>
    </row>
    <row r="61" spans="1:6">
      <c r="A61" s="3" t="s">
        <v>93</v>
      </c>
      <c r="B61" s="1" t="s">
        <v>94</v>
      </c>
      <c r="C61" s="1" t="s">
        <v>330</v>
      </c>
      <c r="D61" s="2" t="s">
        <v>341</v>
      </c>
      <c r="E61" s="1">
        <v>1</v>
      </c>
      <c r="F61" s="4"/>
    </row>
    <row r="62" spans="1:6">
      <c r="A62" s="3" t="s">
        <v>95</v>
      </c>
      <c r="B62" s="1" t="s">
        <v>96</v>
      </c>
      <c r="C62" s="1" t="s">
        <v>332</v>
      </c>
      <c r="D62" s="1"/>
      <c r="E62" s="1"/>
      <c r="F62" s="4"/>
    </row>
    <row r="63" spans="1:6">
      <c r="A63" s="3" t="s">
        <v>376</v>
      </c>
      <c r="B63" s="1" t="s">
        <v>97</v>
      </c>
      <c r="C63" s="1" t="s">
        <v>332</v>
      </c>
      <c r="D63" s="1"/>
      <c r="E63" s="1"/>
      <c r="F63" s="4">
        <v>1</v>
      </c>
    </row>
    <row r="64" spans="1:6">
      <c r="A64" s="3" t="s">
        <v>98</v>
      </c>
      <c r="B64" s="1" t="s">
        <v>99</v>
      </c>
      <c r="C64" s="1" t="s">
        <v>331</v>
      </c>
      <c r="D64" s="1"/>
      <c r="E64" s="1"/>
      <c r="F64" s="4">
        <v>1</v>
      </c>
    </row>
    <row r="65" spans="1:6">
      <c r="A65" s="3" t="s">
        <v>100</v>
      </c>
      <c r="B65" s="1" t="s">
        <v>101</v>
      </c>
      <c r="C65" s="1" t="s">
        <v>331</v>
      </c>
      <c r="D65" s="1"/>
      <c r="E65" s="1"/>
      <c r="F65" s="4"/>
    </row>
    <row r="66" spans="1:6">
      <c r="A66" s="3" t="s">
        <v>102</v>
      </c>
      <c r="B66" s="1" t="s">
        <v>103</v>
      </c>
      <c r="C66" s="1" t="s">
        <v>330</v>
      </c>
      <c r="D66" s="2" t="s">
        <v>342</v>
      </c>
      <c r="E66" s="1">
        <v>1</v>
      </c>
      <c r="F66" s="4"/>
    </row>
    <row r="67" spans="1:6">
      <c r="A67" s="3" t="s">
        <v>104</v>
      </c>
      <c r="B67" s="1" t="s">
        <v>105</v>
      </c>
      <c r="C67" s="1" t="s">
        <v>330</v>
      </c>
      <c r="D67" s="1" t="s">
        <v>349</v>
      </c>
      <c r="E67" s="1"/>
      <c r="F67" s="4"/>
    </row>
    <row r="68" spans="1:6">
      <c r="A68" s="3" t="s">
        <v>106</v>
      </c>
      <c r="B68" s="1" t="s">
        <v>107</v>
      </c>
      <c r="C68" s="1" t="s">
        <v>330</v>
      </c>
      <c r="D68" s="1" t="s">
        <v>342</v>
      </c>
      <c r="E68" s="1"/>
      <c r="F68" s="4"/>
    </row>
    <row r="69" spans="1:6">
      <c r="A69" s="3" t="s">
        <v>108</v>
      </c>
      <c r="B69" s="1" t="s">
        <v>109</v>
      </c>
      <c r="C69" s="1" t="s">
        <v>330</v>
      </c>
      <c r="D69" s="1" t="s">
        <v>342</v>
      </c>
      <c r="E69" s="1"/>
      <c r="F69" s="4"/>
    </row>
    <row r="70" spans="1:6">
      <c r="A70" s="3" t="s">
        <v>110</v>
      </c>
      <c r="B70" s="1" t="s">
        <v>111</v>
      </c>
      <c r="C70" s="1" t="s">
        <v>331</v>
      </c>
      <c r="D70" s="1" t="s">
        <v>342</v>
      </c>
      <c r="E70" s="1"/>
      <c r="F70" s="4"/>
    </row>
    <row r="71" spans="1:6">
      <c r="A71" s="3" t="s">
        <v>112</v>
      </c>
      <c r="B71" s="1" t="s">
        <v>113</v>
      </c>
      <c r="C71" s="1" t="s">
        <v>330</v>
      </c>
      <c r="D71" s="2" t="s">
        <v>342</v>
      </c>
      <c r="E71" s="1">
        <v>1</v>
      </c>
      <c r="F71" s="4"/>
    </row>
    <row r="72" spans="1:6">
      <c r="A72" s="3" t="s">
        <v>114</v>
      </c>
      <c r="B72" s="1" t="s">
        <v>115</v>
      </c>
      <c r="C72" s="1" t="s">
        <v>330</v>
      </c>
      <c r="D72" s="1" t="s">
        <v>349</v>
      </c>
      <c r="E72" s="1"/>
      <c r="F72" s="4"/>
    </row>
    <row r="73" spans="1:6">
      <c r="A73" s="3" t="s">
        <v>313</v>
      </c>
      <c r="B73" s="1" t="s">
        <v>116</v>
      </c>
      <c r="C73" s="1" t="s">
        <v>330</v>
      </c>
      <c r="D73" s="1" t="s">
        <v>349</v>
      </c>
      <c r="E73" s="1"/>
      <c r="F73" s="4"/>
    </row>
    <row r="74" spans="1:6">
      <c r="A74" s="3" t="s">
        <v>117</v>
      </c>
      <c r="B74" s="1" t="s">
        <v>118</v>
      </c>
      <c r="C74" s="1" t="s">
        <v>330</v>
      </c>
      <c r="D74" s="1" t="s">
        <v>349</v>
      </c>
      <c r="E74" s="1"/>
      <c r="F74" s="4"/>
    </row>
    <row r="75" spans="1:6">
      <c r="A75" s="3" t="s">
        <v>312</v>
      </c>
      <c r="B75" s="1" t="s">
        <v>119</v>
      </c>
      <c r="C75" s="1" t="s">
        <v>330</v>
      </c>
      <c r="D75" s="2" t="s">
        <v>342</v>
      </c>
      <c r="E75" s="1">
        <v>1</v>
      </c>
      <c r="F75" s="4"/>
    </row>
    <row r="76" spans="1:6">
      <c r="A76" s="3" t="s">
        <v>311</v>
      </c>
      <c r="B76" s="1" t="s">
        <v>120</v>
      </c>
      <c r="C76" s="1" t="s">
        <v>330</v>
      </c>
      <c r="D76" s="2" t="s">
        <v>342</v>
      </c>
      <c r="E76" s="1">
        <v>1</v>
      </c>
      <c r="F76" s="4"/>
    </row>
    <row r="77" spans="1:6">
      <c r="A77" s="3" t="s">
        <v>310</v>
      </c>
      <c r="B77" s="1" t="s">
        <v>121</v>
      </c>
      <c r="C77" s="1" t="s">
        <v>330</v>
      </c>
      <c r="D77" s="2" t="s">
        <v>342</v>
      </c>
      <c r="E77" s="1">
        <v>1</v>
      </c>
      <c r="F77" s="4"/>
    </row>
    <row r="78" spans="1:6">
      <c r="A78" s="3" t="s">
        <v>309</v>
      </c>
      <c r="B78" s="1" t="s">
        <v>122</v>
      </c>
      <c r="C78" s="1" t="s">
        <v>330</v>
      </c>
      <c r="D78" s="2" t="s">
        <v>342</v>
      </c>
      <c r="E78" s="1">
        <v>1</v>
      </c>
      <c r="F78" s="4"/>
    </row>
    <row r="79" spans="1:6">
      <c r="A79" s="3" t="s">
        <v>308</v>
      </c>
      <c r="B79" s="1" t="s">
        <v>123</v>
      </c>
      <c r="C79" s="1" t="s">
        <v>330</v>
      </c>
      <c r="D79" s="2" t="s">
        <v>342</v>
      </c>
      <c r="E79" s="1">
        <v>1</v>
      </c>
      <c r="F79" s="4"/>
    </row>
    <row r="80" spans="1:6">
      <c r="A80" s="3" t="s">
        <v>307</v>
      </c>
      <c r="B80" s="1" t="s">
        <v>124</v>
      </c>
      <c r="C80" s="1" t="s">
        <v>330</v>
      </c>
      <c r="D80" s="2" t="s">
        <v>342</v>
      </c>
      <c r="E80" s="1">
        <v>1</v>
      </c>
      <c r="F80" s="4"/>
    </row>
    <row r="81" spans="1:6">
      <c r="A81" s="3" t="s">
        <v>306</v>
      </c>
      <c r="B81" s="1" t="s">
        <v>125</v>
      </c>
      <c r="C81" s="1" t="s">
        <v>330</v>
      </c>
      <c r="D81" s="2" t="s">
        <v>342</v>
      </c>
      <c r="E81" s="1">
        <v>1</v>
      </c>
      <c r="F81" s="4"/>
    </row>
    <row r="82" spans="1:6">
      <c r="A82" s="3" t="s">
        <v>305</v>
      </c>
      <c r="B82" s="1" t="s">
        <v>126</v>
      </c>
      <c r="C82" s="1" t="s">
        <v>330</v>
      </c>
      <c r="D82" s="2" t="s">
        <v>342</v>
      </c>
      <c r="E82" s="1">
        <v>1</v>
      </c>
      <c r="F82" s="4"/>
    </row>
    <row r="83" spans="1:6">
      <c r="A83" s="3" t="s">
        <v>127</v>
      </c>
      <c r="B83" s="1" t="s">
        <v>128</v>
      </c>
      <c r="C83" s="1" t="s">
        <v>330</v>
      </c>
      <c r="D83" s="2" t="s">
        <v>342</v>
      </c>
      <c r="E83" s="1">
        <v>1</v>
      </c>
      <c r="F83" s="4"/>
    </row>
    <row r="84" spans="1:6">
      <c r="A84" s="3" t="s">
        <v>304</v>
      </c>
      <c r="B84" s="1" t="s">
        <v>129</v>
      </c>
      <c r="C84" s="1" t="s">
        <v>330</v>
      </c>
      <c r="D84" s="1" t="s">
        <v>342</v>
      </c>
      <c r="E84" s="1"/>
      <c r="F84" s="4"/>
    </row>
    <row r="85" spans="1:6">
      <c r="A85" s="3" t="s">
        <v>303</v>
      </c>
      <c r="B85" s="1" t="s">
        <v>130</v>
      </c>
      <c r="C85" s="1" t="s">
        <v>331</v>
      </c>
      <c r="D85" s="1" t="s">
        <v>342</v>
      </c>
      <c r="E85" s="1"/>
      <c r="F85" s="4"/>
    </row>
    <row r="86" spans="1:6">
      <c r="A86" s="3" t="s">
        <v>131</v>
      </c>
      <c r="B86" s="1" t="s">
        <v>132</v>
      </c>
      <c r="C86" s="1" t="s">
        <v>330</v>
      </c>
      <c r="D86" s="1" t="s">
        <v>342</v>
      </c>
      <c r="E86" s="1"/>
      <c r="F86" s="4"/>
    </row>
    <row r="87" spans="1:6">
      <c r="A87" s="3" t="s">
        <v>133</v>
      </c>
      <c r="B87" s="1" t="s">
        <v>134</v>
      </c>
      <c r="C87" s="1" t="s">
        <v>332</v>
      </c>
      <c r="D87" s="1"/>
      <c r="E87" s="1"/>
      <c r="F87" s="4">
        <v>1</v>
      </c>
    </row>
    <row r="88" spans="1:6">
      <c r="A88" s="3" t="s">
        <v>135</v>
      </c>
      <c r="B88" s="1" t="s">
        <v>136</v>
      </c>
      <c r="C88" s="1" t="s">
        <v>332</v>
      </c>
      <c r="D88" s="1"/>
      <c r="E88" s="1"/>
      <c r="F88" s="4"/>
    </row>
    <row r="89" spans="1:6">
      <c r="A89" s="3" t="s">
        <v>137</v>
      </c>
      <c r="B89" s="1" t="s">
        <v>138</v>
      </c>
      <c r="C89" s="1" t="s">
        <v>332</v>
      </c>
      <c r="D89" s="1"/>
      <c r="E89" s="1"/>
      <c r="F89" s="4"/>
    </row>
    <row r="90" spans="1:6">
      <c r="A90" s="3" t="s">
        <v>302</v>
      </c>
      <c r="B90" s="1" t="s">
        <v>139</v>
      </c>
      <c r="C90" s="1" t="s">
        <v>332</v>
      </c>
      <c r="D90" s="1"/>
      <c r="E90" s="1"/>
      <c r="F90" s="4">
        <v>1</v>
      </c>
    </row>
    <row r="91" spans="1:6">
      <c r="A91" s="3" t="s">
        <v>140</v>
      </c>
      <c r="B91" s="1" t="s">
        <v>141</v>
      </c>
      <c r="C91" s="1" t="s">
        <v>332</v>
      </c>
      <c r="D91" s="1"/>
      <c r="E91" s="1"/>
      <c r="F91" s="4"/>
    </row>
    <row r="92" spans="1:6">
      <c r="A92" s="3" t="s">
        <v>142</v>
      </c>
      <c r="B92" s="1" t="s">
        <v>143</v>
      </c>
      <c r="C92" s="1" t="s">
        <v>332</v>
      </c>
      <c r="D92" s="1"/>
      <c r="E92" s="1"/>
      <c r="F92" s="4"/>
    </row>
    <row r="93" spans="1:6">
      <c r="A93" s="3" t="s">
        <v>144</v>
      </c>
      <c r="B93" s="1" t="s">
        <v>145</v>
      </c>
      <c r="C93" s="1" t="s">
        <v>332</v>
      </c>
      <c r="D93" s="1"/>
      <c r="E93" s="1"/>
      <c r="F93" s="4"/>
    </row>
    <row r="94" spans="1:6">
      <c r="A94" s="3" t="s">
        <v>146</v>
      </c>
      <c r="B94" s="1" t="s">
        <v>147</v>
      </c>
      <c r="C94" s="1" t="s">
        <v>332</v>
      </c>
      <c r="D94" s="1"/>
      <c r="E94" s="1"/>
      <c r="F94" s="4"/>
    </row>
    <row r="95" spans="1:6">
      <c r="A95" s="3" t="s">
        <v>148</v>
      </c>
      <c r="B95" s="1" t="s">
        <v>333</v>
      </c>
      <c r="C95" s="1" t="s">
        <v>332</v>
      </c>
      <c r="D95" s="1"/>
      <c r="E95" s="1"/>
      <c r="F95" s="4">
        <v>1</v>
      </c>
    </row>
    <row r="96" spans="1:6">
      <c r="A96" s="3" t="s">
        <v>149</v>
      </c>
      <c r="B96" s="1" t="s">
        <v>150</v>
      </c>
      <c r="C96" s="1" t="s">
        <v>332</v>
      </c>
      <c r="D96" s="1"/>
      <c r="E96" s="1"/>
      <c r="F96" s="4"/>
    </row>
    <row r="97" spans="1:6">
      <c r="A97" s="3" t="s">
        <v>151</v>
      </c>
      <c r="B97" s="1" t="s">
        <v>152</v>
      </c>
      <c r="C97" s="1" t="s">
        <v>332</v>
      </c>
      <c r="D97" s="1"/>
      <c r="E97" s="1"/>
      <c r="F97" s="4"/>
    </row>
    <row r="98" spans="1:6">
      <c r="A98" s="3" t="s">
        <v>153</v>
      </c>
      <c r="B98" s="1" t="s">
        <v>154</v>
      </c>
      <c r="C98" s="1" t="s">
        <v>332</v>
      </c>
      <c r="D98" s="1"/>
      <c r="E98" s="1"/>
      <c r="F98" s="4"/>
    </row>
    <row r="99" spans="1:6">
      <c r="A99" s="3" t="s">
        <v>155</v>
      </c>
      <c r="B99" s="1" t="s">
        <v>156</v>
      </c>
      <c r="C99" s="1" t="s">
        <v>332</v>
      </c>
      <c r="D99" s="1"/>
      <c r="E99" s="1"/>
      <c r="F99" s="4"/>
    </row>
    <row r="100" spans="1:6">
      <c r="A100" s="3" t="s">
        <v>157</v>
      </c>
      <c r="B100" s="1" t="s">
        <v>158</v>
      </c>
      <c r="C100" s="1" t="s">
        <v>332</v>
      </c>
      <c r="D100" s="1"/>
      <c r="E100" s="1"/>
      <c r="F100" s="4"/>
    </row>
    <row r="101" spans="1:6">
      <c r="A101" s="3" t="s">
        <v>159</v>
      </c>
      <c r="B101" s="1" t="s">
        <v>160</v>
      </c>
      <c r="C101" s="1" t="s">
        <v>332</v>
      </c>
      <c r="D101" s="1"/>
      <c r="E101" s="1"/>
      <c r="F101" s="4"/>
    </row>
    <row r="102" spans="1:6">
      <c r="A102" s="3" t="s">
        <v>161</v>
      </c>
      <c r="B102" s="1" t="s">
        <v>162</v>
      </c>
      <c r="C102" s="1" t="s">
        <v>330</v>
      </c>
      <c r="D102" s="2" t="s">
        <v>343</v>
      </c>
      <c r="E102" s="1">
        <v>1</v>
      </c>
      <c r="F102" s="4"/>
    </row>
    <row r="103" spans="1:6">
      <c r="A103" s="3" t="s">
        <v>163</v>
      </c>
      <c r="B103" s="1" t="s">
        <v>164</v>
      </c>
      <c r="C103" s="1" t="s">
        <v>332</v>
      </c>
      <c r="D103" s="1"/>
      <c r="E103" s="1"/>
      <c r="F103" s="4">
        <v>1</v>
      </c>
    </row>
    <row r="104" spans="1:6">
      <c r="A104" s="3" t="s">
        <v>165</v>
      </c>
      <c r="B104" s="1" t="s">
        <v>166</v>
      </c>
      <c r="C104" s="1" t="s">
        <v>332</v>
      </c>
      <c r="D104" s="1"/>
      <c r="E104" s="1"/>
      <c r="F104" s="4"/>
    </row>
    <row r="105" spans="1:6">
      <c r="A105" s="3" t="s">
        <v>301</v>
      </c>
      <c r="B105" s="1" t="s">
        <v>167</v>
      </c>
      <c r="C105" s="1" t="s">
        <v>332</v>
      </c>
      <c r="D105" s="1"/>
      <c r="E105" s="1"/>
      <c r="F105" s="4">
        <v>1</v>
      </c>
    </row>
    <row r="106" spans="1:6">
      <c r="A106" s="3" t="s">
        <v>168</v>
      </c>
      <c r="B106" s="1" t="s">
        <v>169</v>
      </c>
      <c r="C106" s="1" t="s">
        <v>332</v>
      </c>
      <c r="D106" s="1"/>
      <c r="E106" s="1"/>
      <c r="F106" s="4"/>
    </row>
    <row r="107" spans="1:6">
      <c r="A107" s="3" t="s">
        <v>170</v>
      </c>
      <c r="B107" s="1" t="s">
        <v>171</v>
      </c>
      <c r="C107" s="1" t="s">
        <v>332</v>
      </c>
      <c r="D107" s="1"/>
      <c r="E107" s="1"/>
      <c r="F107" s="4"/>
    </row>
    <row r="108" spans="1:6">
      <c r="A108" s="3" t="s">
        <v>172</v>
      </c>
      <c r="B108" s="1" t="s">
        <v>173</v>
      </c>
      <c r="C108" s="1" t="s">
        <v>332</v>
      </c>
      <c r="D108" s="1"/>
      <c r="E108" s="1"/>
      <c r="F108" s="4"/>
    </row>
    <row r="109" spans="1:6">
      <c r="A109" s="3" t="s">
        <v>174</v>
      </c>
      <c r="B109" s="1" t="s">
        <v>175</v>
      </c>
      <c r="C109" s="1" t="s">
        <v>332</v>
      </c>
      <c r="D109" s="1"/>
      <c r="E109" s="1"/>
      <c r="F109" s="4"/>
    </row>
    <row r="110" spans="1:6">
      <c r="A110" s="3" t="s">
        <v>176</v>
      </c>
      <c r="B110" s="1" t="s">
        <v>177</v>
      </c>
      <c r="C110" s="1" t="s">
        <v>332</v>
      </c>
      <c r="D110" s="1"/>
      <c r="E110" s="1"/>
      <c r="F110" s="4"/>
    </row>
    <row r="111" spans="1:6">
      <c r="A111" s="3" t="s">
        <v>300</v>
      </c>
      <c r="B111" s="1" t="s">
        <v>178</v>
      </c>
      <c r="C111" s="1" t="s">
        <v>332</v>
      </c>
      <c r="D111" s="1"/>
      <c r="E111" s="1"/>
      <c r="F111" s="4"/>
    </row>
    <row r="112" spans="1:6">
      <c r="A112" s="3" t="s">
        <v>179</v>
      </c>
      <c r="B112" s="1" t="s">
        <v>180</v>
      </c>
      <c r="C112" s="1" t="s">
        <v>332</v>
      </c>
      <c r="D112" s="1"/>
      <c r="E112" s="1"/>
      <c r="F112" s="4"/>
    </row>
    <row r="113" spans="1:6">
      <c r="A113" s="3" t="s">
        <v>181</v>
      </c>
      <c r="B113" s="1" t="s">
        <v>182</v>
      </c>
      <c r="C113" s="1" t="s">
        <v>332</v>
      </c>
      <c r="D113" s="1"/>
      <c r="E113" s="1"/>
      <c r="F113" s="4">
        <v>1</v>
      </c>
    </row>
    <row r="114" spans="1:6">
      <c r="A114" s="3" t="s">
        <v>183</v>
      </c>
      <c r="B114" s="1" t="s">
        <v>184</v>
      </c>
      <c r="C114" s="1" t="s">
        <v>332</v>
      </c>
      <c r="D114" s="1"/>
      <c r="E114" s="1"/>
      <c r="F114" s="4"/>
    </row>
    <row r="115" spans="1:6">
      <c r="A115" s="3" t="s">
        <v>299</v>
      </c>
      <c r="B115" s="1" t="s">
        <v>185</v>
      </c>
      <c r="C115" s="1" t="s">
        <v>332</v>
      </c>
      <c r="D115" s="1"/>
      <c r="E115" s="1"/>
      <c r="F115" s="4"/>
    </row>
    <row r="116" spans="1:6">
      <c r="A116" s="3" t="s">
        <v>186</v>
      </c>
      <c r="B116" s="1" t="s">
        <v>187</v>
      </c>
      <c r="C116" s="1" t="s">
        <v>332</v>
      </c>
      <c r="D116" s="1"/>
      <c r="E116" s="1"/>
      <c r="F116" s="4"/>
    </row>
    <row r="117" spans="1:6">
      <c r="A117" s="3" t="s">
        <v>188</v>
      </c>
      <c r="B117" s="1" t="s">
        <v>189</v>
      </c>
      <c r="C117" s="1" t="s">
        <v>332</v>
      </c>
      <c r="D117" s="1"/>
      <c r="E117" s="1"/>
      <c r="F117" s="4">
        <v>1</v>
      </c>
    </row>
    <row r="118" spans="1:6">
      <c r="A118" s="3" t="s">
        <v>427</v>
      </c>
      <c r="B118" s="1" t="s">
        <v>190</v>
      </c>
      <c r="C118" s="1" t="s">
        <v>332</v>
      </c>
      <c r="D118" s="1"/>
      <c r="E118" s="1"/>
      <c r="F118" s="4">
        <v>1</v>
      </c>
    </row>
    <row r="119" spans="1:6">
      <c r="A119" s="3" t="s">
        <v>191</v>
      </c>
      <c r="B119" s="1" t="s">
        <v>192</v>
      </c>
      <c r="C119" s="1" t="s">
        <v>332</v>
      </c>
      <c r="D119" s="1"/>
      <c r="E119" s="1"/>
      <c r="F119" s="4">
        <v>1</v>
      </c>
    </row>
    <row r="120" spans="1:6">
      <c r="A120" s="3" t="s">
        <v>193</v>
      </c>
      <c r="B120" s="1" t="s">
        <v>194</v>
      </c>
      <c r="C120" s="1" t="s">
        <v>332</v>
      </c>
      <c r="D120" s="1"/>
      <c r="E120" s="1"/>
      <c r="F120" s="4"/>
    </row>
    <row r="121" spans="1:6">
      <c r="A121" s="3" t="s">
        <v>195</v>
      </c>
      <c r="B121" s="1" t="s">
        <v>196</v>
      </c>
      <c r="C121" s="1" t="s">
        <v>332</v>
      </c>
      <c r="D121" s="1"/>
      <c r="E121" s="1"/>
      <c r="F121" s="4"/>
    </row>
    <row r="122" spans="1:6">
      <c r="A122" s="3" t="s">
        <v>197</v>
      </c>
      <c r="B122" s="1" t="s">
        <v>198</v>
      </c>
      <c r="C122" s="1" t="s">
        <v>332</v>
      </c>
      <c r="D122" s="1"/>
      <c r="E122" s="1"/>
      <c r="F122" s="4"/>
    </row>
    <row r="123" spans="1:6">
      <c r="A123" s="3" t="s">
        <v>377</v>
      </c>
      <c r="B123" s="1" t="s">
        <v>199</v>
      </c>
      <c r="C123" s="1" t="s">
        <v>332</v>
      </c>
      <c r="D123" s="1"/>
      <c r="E123" s="1"/>
      <c r="F123" s="4"/>
    </row>
    <row r="124" spans="1:6">
      <c r="A124" s="3" t="s">
        <v>200</v>
      </c>
      <c r="B124" s="1" t="s">
        <v>201</v>
      </c>
      <c r="C124" s="1" t="s">
        <v>332</v>
      </c>
      <c r="D124" s="1"/>
      <c r="E124" s="1"/>
      <c r="F124" s="4">
        <v>1</v>
      </c>
    </row>
    <row r="125" spans="1:6">
      <c r="A125" s="3" t="s">
        <v>202</v>
      </c>
      <c r="B125" s="1" t="s">
        <v>203</v>
      </c>
      <c r="C125" s="1" t="s">
        <v>332</v>
      </c>
      <c r="D125" s="1"/>
      <c r="E125" s="1"/>
      <c r="F125" s="4">
        <v>1</v>
      </c>
    </row>
    <row r="126" spans="1:6">
      <c r="A126" s="3" t="s">
        <v>204</v>
      </c>
      <c r="B126" s="1" t="s">
        <v>205</v>
      </c>
      <c r="C126" s="1" t="s">
        <v>332</v>
      </c>
      <c r="D126" s="1"/>
      <c r="E126" s="1"/>
      <c r="F126" s="4">
        <v>1</v>
      </c>
    </row>
    <row r="127" spans="1:6">
      <c r="A127" s="3" t="s">
        <v>206</v>
      </c>
      <c r="B127" s="1" t="s">
        <v>207</v>
      </c>
      <c r="C127" s="1" t="s">
        <v>332</v>
      </c>
      <c r="D127" s="1"/>
      <c r="E127" s="1"/>
      <c r="F127" s="4"/>
    </row>
    <row r="128" spans="1:6">
      <c r="A128" s="3" t="s">
        <v>208</v>
      </c>
      <c r="B128" s="1" t="s">
        <v>209</v>
      </c>
      <c r="C128" s="1" t="s">
        <v>332</v>
      </c>
      <c r="D128" s="1"/>
      <c r="E128" s="1"/>
      <c r="F128" s="4"/>
    </row>
    <row r="129" spans="1:6">
      <c r="A129" s="3" t="s">
        <v>210</v>
      </c>
      <c r="B129" s="1" t="s">
        <v>211</v>
      </c>
      <c r="C129" s="1" t="s">
        <v>332</v>
      </c>
      <c r="D129" s="1"/>
      <c r="E129" s="1"/>
      <c r="F129" s="4"/>
    </row>
    <row r="130" spans="1:6">
      <c r="A130" s="3" t="s">
        <v>212</v>
      </c>
      <c r="B130" s="1" t="s">
        <v>213</v>
      </c>
      <c r="C130" s="1" t="s">
        <v>332</v>
      </c>
      <c r="D130" s="1"/>
      <c r="E130" s="1"/>
      <c r="F130" s="4"/>
    </row>
    <row r="131" spans="1:6">
      <c r="A131" s="3" t="s">
        <v>214</v>
      </c>
      <c r="B131" s="1" t="s">
        <v>215</v>
      </c>
      <c r="C131" s="1" t="s">
        <v>332</v>
      </c>
      <c r="D131" s="1"/>
      <c r="E131" s="1"/>
      <c r="F131" s="4"/>
    </row>
    <row r="132" spans="1:6">
      <c r="A132" s="3" t="s">
        <v>216</v>
      </c>
      <c r="B132" s="1" t="s">
        <v>217</v>
      </c>
      <c r="C132" s="1" t="s">
        <v>332</v>
      </c>
      <c r="D132" s="1"/>
      <c r="E132" s="1"/>
      <c r="F132" s="4"/>
    </row>
    <row r="133" spans="1:6">
      <c r="A133" s="3" t="s">
        <v>218</v>
      </c>
      <c r="B133" s="1" t="s">
        <v>219</v>
      </c>
      <c r="C133" s="1" t="s">
        <v>332</v>
      </c>
      <c r="D133" s="1"/>
      <c r="E133" s="1"/>
      <c r="F133" s="4">
        <v>1</v>
      </c>
    </row>
    <row r="134" spans="1:6">
      <c r="A134" s="3" t="s">
        <v>220</v>
      </c>
      <c r="B134" s="1" t="s">
        <v>221</v>
      </c>
      <c r="C134" s="1" t="s">
        <v>332</v>
      </c>
      <c r="D134" s="1"/>
      <c r="E134" s="1"/>
      <c r="F134" s="4"/>
    </row>
    <row r="135" spans="1:6">
      <c r="A135" s="3" t="s">
        <v>222</v>
      </c>
      <c r="B135" s="1" t="s">
        <v>223</v>
      </c>
      <c r="C135" s="1" t="s">
        <v>332</v>
      </c>
      <c r="D135" s="1"/>
      <c r="E135" s="1"/>
      <c r="F135" s="4">
        <v>1</v>
      </c>
    </row>
    <row r="136" spans="1:6">
      <c r="A136" s="3" t="s">
        <v>224</v>
      </c>
      <c r="B136" s="1" t="s">
        <v>225</v>
      </c>
      <c r="C136" s="1" t="s">
        <v>332</v>
      </c>
      <c r="D136" s="1"/>
      <c r="E136" s="1"/>
      <c r="F136" s="4"/>
    </row>
    <row r="137" spans="1:6">
      <c r="A137" s="3" t="s">
        <v>226</v>
      </c>
      <c r="B137" s="1" t="s">
        <v>227</v>
      </c>
      <c r="C137" s="1" t="s">
        <v>332</v>
      </c>
      <c r="D137" s="1"/>
      <c r="E137" s="1"/>
      <c r="F137" s="4"/>
    </row>
    <row r="138" spans="1:6">
      <c r="A138" s="3" t="s">
        <v>228</v>
      </c>
      <c r="B138" s="1" t="s">
        <v>229</v>
      </c>
      <c r="C138" s="1" t="s">
        <v>332</v>
      </c>
      <c r="D138" s="1"/>
      <c r="E138" s="1"/>
      <c r="F138" s="4"/>
    </row>
    <row r="139" spans="1:6">
      <c r="A139" s="3" t="s">
        <v>230</v>
      </c>
      <c r="B139" s="1" t="s">
        <v>231</v>
      </c>
      <c r="C139" s="1" t="s">
        <v>332</v>
      </c>
      <c r="D139" s="1"/>
      <c r="E139" s="1"/>
      <c r="F139" s="4"/>
    </row>
    <row r="140" spans="1:6">
      <c r="A140" s="3" t="s">
        <v>232</v>
      </c>
      <c r="B140" s="1" t="s">
        <v>233</v>
      </c>
      <c r="C140" s="1" t="s">
        <v>332</v>
      </c>
      <c r="D140" s="1"/>
      <c r="E140" s="1"/>
      <c r="F140" s="4">
        <v>1</v>
      </c>
    </row>
    <row r="141" spans="1:6">
      <c r="A141" s="3" t="s">
        <v>234</v>
      </c>
      <c r="B141" s="1" t="s">
        <v>235</v>
      </c>
      <c r="C141" s="1" t="s">
        <v>332</v>
      </c>
      <c r="D141" s="1"/>
      <c r="E141" s="1"/>
      <c r="F141" s="4"/>
    </row>
    <row r="142" spans="1:6">
      <c r="A142" s="3" t="s">
        <v>236</v>
      </c>
      <c r="B142" s="1" t="s">
        <v>237</v>
      </c>
      <c r="C142" s="1" t="s">
        <v>332</v>
      </c>
      <c r="D142" s="1"/>
      <c r="E142" s="1"/>
      <c r="F142" s="4"/>
    </row>
    <row r="143" spans="1:6">
      <c r="A143" s="3" t="s">
        <v>238</v>
      </c>
      <c r="B143" s="1" t="s">
        <v>239</v>
      </c>
      <c r="C143" s="1" t="s">
        <v>332</v>
      </c>
      <c r="D143" s="1"/>
      <c r="E143" s="1"/>
      <c r="F143" s="4"/>
    </row>
    <row r="144" spans="1:6">
      <c r="A144" s="3" t="s">
        <v>240</v>
      </c>
      <c r="B144" s="1" t="s">
        <v>241</v>
      </c>
      <c r="C144" s="1" t="s">
        <v>332</v>
      </c>
      <c r="D144" s="1"/>
      <c r="E144" s="1"/>
      <c r="F144" s="4"/>
    </row>
    <row r="145" spans="1:6">
      <c r="A145" s="3" t="s">
        <v>242</v>
      </c>
      <c r="B145" s="1" t="s">
        <v>243</v>
      </c>
      <c r="C145" s="1" t="s">
        <v>332</v>
      </c>
      <c r="D145" s="1"/>
      <c r="E145" s="1"/>
      <c r="F145" s="4"/>
    </row>
    <row r="146" spans="1:6">
      <c r="A146" s="3" t="s">
        <v>244</v>
      </c>
      <c r="B146" s="1" t="s">
        <v>245</v>
      </c>
      <c r="C146" s="1" t="s">
        <v>332</v>
      </c>
      <c r="D146" s="1"/>
      <c r="E146" s="1"/>
      <c r="F146" s="4"/>
    </row>
    <row r="147" spans="1:6">
      <c r="A147" s="3" t="s">
        <v>246</v>
      </c>
      <c r="B147" s="1" t="s">
        <v>247</v>
      </c>
      <c r="C147" s="1" t="s">
        <v>332</v>
      </c>
      <c r="D147" s="1"/>
      <c r="E147" s="1"/>
      <c r="F147" s="4">
        <v>1</v>
      </c>
    </row>
    <row r="148" spans="1:6">
      <c r="A148" s="3" t="s">
        <v>248</v>
      </c>
      <c r="B148" s="1" t="s">
        <v>249</v>
      </c>
      <c r="C148" s="1" t="s">
        <v>332</v>
      </c>
      <c r="D148" s="1"/>
      <c r="E148" s="1"/>
      <c r="F148" s="4"/>
    </row>
    <row r="149" spans="1:6">
      <c r="A149" s="3" t="s">
        <v>250</v>
      </c>
      <c r="B149" s="1" t="s">
        <v>251</v>
      </c>
      <c r="C149" s="1" t="s">
        <v>332</v>
      </c>
      <c r="D149" s="1"/>
      <c r="E149" s="1"/>
      <c r="F149" s="4"/>
    </row>
    <row r="150" spans="1:6">
      <c r="A150" s="3" t="s">
        <v>252</v>
      </c>
      <c r="B150" s="1" t="s">
        <v>253</v>
      </c>
      <c r="C150" s="1" t="s">
        <v>334</v>
      </c>
      <c r="D150" s="1" t="s">
        <v>344</v>
      </c>
      <c r="E150" s="1"/>
      <c r="F150" s="4"/>
    </row>
    <row r="151" spans="1:6">
      <c r="A151" s="3" t="s">
        <v>254</v>
      </c>
      <c r="B151" s="1" t="s">
        <v>255</v>
      </c>
      <c r="C151" s="1" t="s">
        <v>334</v>
      </c>
      <c r="D151" s="1" t="s">
        <v>344</v>
      </c>
      <c r="E151" s="1"/>
      <c r="F151" s="4"/>
    </row>
    <row r="152" spans="1:6">
      <c r="A152" s="3" t="s">
        <v>298</v>
      </c>
      <c r="B152" s="1" t="s">
        <v>256</v>
      </c>
      <c r="C152" s="1" t="s">
        <v>334</v>
      </c>
      <c r="D152" s="1" t="s">
        <v>344</v>
      </c>
      <c r="E152" s="1"/>
      <c r="F152" s="4"/>
    </row>
    <row r="153" spans="1:6">
      <c r="A153" s="3" t="s">
        <v>257</v>
      </c>
      <c r="B153" s="1" t="s">
        <v>258</v>
      </c>
      <c r="C153" s="1" t="s">
        <v>334</v>
      </c>
      <c r="D153" s="1" t="s">
        <v>344</v>
      </c>
      <c r="E153" s="1"/>
      <c r="F153" s="4"/>
    </row>
    <row r="154" spans="1:6">
      <c r="A154" s="3" t="s">
        <v>259</v>
      </c>
      <c r="B154" s="1" t="s">
        <v>260</v>
      </c>
      <c r="C154" s="1" t="s">
        <v>334</v>
      </c>
      <c r="D154" s="1" t="s">
        <v>344</v>
      </c>
      <c r="E154" s="1"/>
      <c r="F154" s="4"/>
    </row>
    <row r="155" spans="1:6">
      <c r="A155" s="3" t="s">
        <v>261</v>
      </c>
      <c r="B155" s="1" t="s">
        <v>262</v>
      </c>
      <c r="C155" s="1" t="s">
        <v>334</v>
      </c>
      <c r="D155" s="1" t="s">
        <v>344</v>
      </c>
      <c r="E155" s="1"/>
      <c r="F155" s="4"/>
    </row>
    <row r="156" spans="1:6">
      <c r="A156" s="3" t="s">
        <v>263</v>
      </c>
      <c r="B156" s="1" t="s">
        <v>264</v>
      </c>
      <c r="C156" s="1" t="s">
        <v>334</v>
      </c>
      <c r="D156" s="1" t="s">
        <v>344</v>
      </c>
      <c r="E156" s="1"/>
      <c r="F156" s="4"/>
    </row>
    <row r="157" spans="1:6">
      <c r="A157" s="3" t="s">
        <v>265</v>
      </c>
      <c r="B157" s="1" t="s">
        <v>266</v>
      </c>
      <c r="C157" s="1" t="s">
        <v>334</v>
      </c>
      <c r="D157" s="2" t="s">
        <v>344</v>
      </c>
      <c r="E157" s="1">
        <v>1</v>
      </c>
      <c r="F157" s="4"/>
    </row>
    <row r="158" spans="1:6">
      <c r="A158" s="3" t="s">
        <v>267</v>
      </c>
      <c r="B158" s="1" t="s">
        <v>268</v>
      </c>
      <c r="C158" s="1" t="s">
        <v>334</v>
      </c>
      <c r="D158" s="1" t="s">
        <v>344</v>
      </c>
      <c r="E158" s="1"/>
      <c r="F158" s="4"/>
    </row>
    <row r="159" spans="1:6">
      <c r="A159" s="3" t="s">
        <v>269</v>
      </c>
      <c r="B159" s="1" t="s">
        <v>270</v>
      </c>
      <c r="C159" s="1" t="s">
        <v>332</v>
      </c>
      <c r="D159" s="1"/>
      <c r="E159" s="1"/>
      <c r="F159" s="4"/>
    </row>
    <row r="160" spans="1:6">
      <c r="A160" s="3" t="s">
        <v>271</v>
      </c>
      <c r="B160" s="1" t="s">
        <v>272</v>
      </c>
      <c r="C160" s="1" t="s">
        <v>332</v>
      </c>
      <c r="D160" s="1"/>
      <c r="E160" s="1"/>
      <c r="F160" s="4"/>
    </row>
    <row r="161" spans="1:6">
      <c r="A161" s="3" t="s">
        <v>385</v>
      </c>
      <c r="B161" s="1" t="s">
        <v>274</v>
      </c>
      <c r="C161" s="1" t="s">
        <v>332</v>
      </c>
      <c r="D161" s="1"/>
      <c r="E161" s="1"/>
      <c r="F161" s="4">
        <v>1</v>
      </c>
    </row>
    <row r="162" spans="1:6">
      <c r="A162" s="3" t="s">
        <v>275</v>
      </c>
      <c r="B162" s="1" t="s">
        <v>276</v>
      </c>
      <c r="C162" s="1" t="s">
        <v>332</v>
      </c>
      <c r="D162" s="1"/>
      <c r="E162" s="1"/>
      <c r="F162" s="4"/>
    </row>
    <row r="163" spans="1:6">
      <c r="A163" s="3" t="s">
        <v>277</v>
      </c>
      <c r="B163" s="1" t="s">
        <v>278</v>
      </c>
      <c r="C163" s="1" t="s">
        <v>332</v>
      </c>
      <c r="D163" s="1"/>
      <c r="E163" s="1"/>
      <c r="F163" s="4">
        <v>1</v>
      </c>
    </row>
    <row r="164" spans="1:6">
      <c r="A164" s="3" t="s">
        <v>279</v>
      </c>
      <c r="B164" s="1" t="s">
        <v>279</v>
      </c>
      <c r="C164" s="1" t="s">
        <v>338</v>
      </c>
      <c r="D164" s="1"/>
      <c r="E164" s="1"/>
      <c r="F164" s="4"/>
    </row>
    <row r="165" spans="1:6">
      <c r="A165" s="3" t="s">
        <v>280</v>
      </c>
      <c r="B165" s="1" t="s">
        <v>280</v>
      </c>
      <c r="C165" s="1" t="s">
        <v>338</v>
      </c>
      <c r="D165" s="1"/>
      <c r="E165" s="1"/>
      <c r="F165" s="4"/>
    </row>
    <row r="166" spans="1:6">
      <c r="A166" s="3" t="s">
        <v>281</v>
      </c>
      <c r="B166" s="1" t="s">
        <v>282</v>
      </c>
      <c r="C166" s="1" t="s">
        <v>338</v>
      </c>
      <c r="D166" s="1"/>
      <c r="E166" s="1"/>
      <c r="F166" s="4"/>
    </row>
    <row r="167" spans="1:6">
      <c r="A167" s="3" t="s">
        <v>297</v>
      </c>
      <c r="B167" s="1" t="s">
        <v>335</v>
      </c>
      <c r="C167" s="1" t="s">
        <v>338</v>
      </c>
      <c r="D167" s="1"/>
      <c r="E167" s="1"/>
      <c r="F167" s="4"/>
    </row>
    <row r="168" spans="1:6">
      <c r="A168" s="3" t="s">
        <v>296</v>
      </c>
      <c r="B168" s="1" t="s">
        <v>336</v>
      </c>
      <c r="C168" s="1" t="s">
        <v>338</v>
      </c>
      <c r="D168" s="1"/>
      <c r="E168" s="1"/>
      <c r="F168" s="4"/>
    </row>
    <row r="169" spans="1:6">
      <c r="A169" s="3" t="s">
        <v>295</v>
      </c>
      <c r="B169" s="1" t="s">
        <v>337</v>
      </c>
      <c r="C169" s="1" t="s">
        <v>338</v>
      </c>
      <c r="D169" s="1"/>
      <c r="E169" s="1"/>
      <c r="F169" s="4"/>
    </row>
    <row r="170" spans="1:6">
      <c r="A170" s="3" t="s">
        <v>294</v>
      </c>
      <c r="B170" s="1" t="s">
        <v>283</v>
      </c>
      <c r="C170" s="1" t="s">
        <v>332</v>
      </c>
      <c r="D170" s="1"/>
      <c r="E170" s="1"/>
      <c r="F170" s="4"/>
    </row>
    <row r="171" spans="1:6">
      <c r="A171" s="3" t="s">
        <v>293</v>
      </c>
      <c r="B171" s="1" t="s">
        <v>284</v>
      </c>
      <c r="C171" s="1" t="s">
        <v>332</v>
      </c>
      <c r="D171" s="1"/>
      <c r="E171" s="1"/>
      <c r="F171" s="4">
        <v>1</v>
      </c>
    </row>
    <row r="172" spans="1:6">
      <c r="A172" s="3" t="s">
        <v>292</v>
      </c>
      <c r="B172" s="1" t="s">
        <v>285</v>
      </c>
      <c r="C172" s="1" t="s">
        <v>332</v>
      </c>
      <c r="D172" s="1"/>
      <c r="E172" s="1"/>
      <c r="F172" s="4">
        <v>1</v>
      </c>
    </row>
    <row r="173" spans="1:6">
      <c r="A173" s="3" t="s">
        <v>291</v>
      </c>
      <c r="B173" s="1" t="s">
        <v>286</v>
      </c>
      <c r="C173" s="1" t="s">
        <v>332</v>
      </c>
      <c r="D173" s="1"/>
      <c r="E173" s="1"/>
      <c r="F173" s="4">
        <v>1</v>
      </c>
    </row>
    <row r="174" spans="1:6">
      <c r="A174" s="3" t="s">
        <v>290</v>
      </c>
      <c r="B174" s="1" t="s">
        <v>287</v>
      </c>
      <c r="C174" s="1" t="s">
        <v>332</v>
      </c>
      <c r="D174" s="1"/>
      <c r="E174" s="1"/>
      <c r="F174" s="4">
        <v>1</v>
      </c>
    </row>
    <row r="175" spans="1:6">
      <c r="A175" s="3" t="s">
        <v>289</v>
      </c>
      <c r="B175" s="1" t="s">
        <v>288</v>
      </c>
      <c r="C175" s="1" t="s">
        <v>332</v>
      </c>
      <c r="D175" s="1"/>
      <c r="E175" s="1"/>
      <c r="F175" s="4"/>
    </row>
    <row r="176" spans="1:6">
      <c r="A176" s="8"/>
      <c r="B176" s="9"/>
      <c r="C176" s="9" t="s">
        <v>332</v>
      </c>
      <c r="D176" s="9" t="s">
        <v>343</v>
      </c>
      <c r="E176" s="9"/>
      <c r="F176" s="10">
        <v>1</v>
      </c>
    </row>
  </sheetData>
  <phoneticPr fontId="1"/>
  <conditionalFormatting sqref="B2:B175">
    <cfRule type="expression" dxfId="4" priority="1">
      <formula>$E2+$F2&gt;0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600B-850B-C04B-9873-6CACB717D9F7}">
  <dimension ref="A1:E80"/>
  <sheetViews>
    <sheetView topLeftCell="A67" zoomScale="170" zoomScaleNormal="170" workbookViewId="0">
      <selection activeCell="A80" sqref="A2:C80"/>
    </sheetView>
  </sheetViews>
  <sheetFormatPr baseColWidth="10" defaultRowHeight="15"/>
  <cols>
    <col min="1" max="1" width="28" bestFit="1" customWidth="1"/>
    <col min="2" max="2" width="19.6640625" bestFit="1" customWidth="1"/>
    <col min="3" max="3" width="9" bestFit="1" customWidth="1"/>
    <col min="4" max="4" width="13" customWidth="1"/>
    <col min="5" max="5" width="88.1640625" bestFit="1" customWidth="1"/>
  </cols>
  <sheetData>
    <row r="1" spans="1:5">
      <c r="A1" t="s">
        <v>351</v>
      </c>
      <c r="B1" t="s">
        <v>374</v>
      </c>
      <c r="C1" t="s">
        <v>382</v>
      </c>
      <c r="D1" t="s">
        <v>352</v>
      </c>
      <c r="E1" t="s">
        <v>353</v>
      </c>
    </row>
    <row r="2" spans="1:5">
      <c r="A2" t="s">
        <v>295</v>
      </c>
      <c r="B2" t="s">
        <v>295</v>
      </c>
      <c r="C2">
        <f>SUMIFS(tbl_main[med_adopt],tbl_main[vars],tbl_add2005[[#This Row],[label_old]])+SUMIFS(tbl_main[control_priority],tbl_main[vars],tbl_add2005[[#This Row],[label_old]])</f>
        <v>0</v>
      </c>
      <c r="D2">
        <v>1.53767905172439E-2</v>
      </c>
    </row>
    <row r="3" spans="1:5">
      <c r="A3" t="s">
        <v>297</v>
      </c>
      <c r="B3" t="s">
        <v>297</v>
      </c>
      <c r="C3">
        <f>SUMIFS(tbl_main[med_adopt],tbl_main[vars],tbl_add2005[[#This Row],[label_old]])+SUMIFS(tbl_main[control_priority],tbl_main[vars],tbl_add2005[[#This Row],[label_old]])</f>
        <v>0</v>
      </c>
      <c r="D3">
        <v>1.13480362530642E-2</v>
      </c>
    </row>
    <row r="4" spans="1:5">
      <c r="A4" t="s">
        <v>383</v>
      </c>
      <c r="B4" t="s">
        <v>376</v>
      </c>
      <c r="C4">
        <f>SUMIFS(tbl_main[med_adopt],tbl_main[vars],tbl_add2005[[#This Row],[label_old]])+SUMIFS(tbl_main[control_priority],tbl_main[vars],tbl_add2005[[#This Row],[label_old]])</f>
        <v>1</v>
      </c>
      <c r="D4">
        <v>7.4272348784708897E-2</v>
      </c>
    </row>
    <row r="5" spans="1:5">
      <c r="A5" t="s">
        <v>95</v>
      </c>
      <c r="B5" t="s">
        <v>95</v>
      </c>
      <c r="C5">
        <f>SUMIFS(tbl_main[med_adopt],tbl_main[vars],tbl_add2005[[#This Row],[label_old]])+SUMIFS(tbl_main[control_priority],tbl_main[vars],tbl_add2005[[#This Row],[label_old]])</f>
        <v>0</v>
      </c>
      <c r="D5">
        <v>0.15810122152172401</v>
      </c>
      <c r="E5" t="s">
        <v>96</v>
      </c>
    </row>
    <row r="6" spans="1:5">
      <c r="A6" t="s">
        <v>161</v>
      </c>
      <c r="B6" t="s">
        <v>161</v>
      </c>
      <c r="C6">
        <f>SUMIFS(tbl_main[med_adopt],tbl_main[vars],tbl_add2005[[#This Row],[label_old]])+SUMIFS(tbl_main[control_priority],tbl_main[vars],tbl_add2005[[#This Row],[label_old]])</f>
        <v>1</v>
      </c>
      <c r="D6">
        <v>1.11712856390938E-2</v>
      </c>
      <c r="E6" t="s">
        <v>162</v>
      </c>
    </row>
    <row r="7" spans="1:5">
      <c r="A7" t="s">
        <v>289</v>
      </c>
      <c r="B7" t="s">
        <v>289</v>
      </c>
      <c r="C7">
        <f>SUMIFS(tbl_main[med_adopt],tbl_main[vars],tbl_add2005[[#This Row],[label_old]])+SUMIFS(tbl_main[control_priority],tbl_main[vars],tbl_add2005[[#This Row],[label_old]])</f>
        <v>0</v>
      </c>
      <c r="D7">
        <v>6.5944216415992599E-4</v>
      </c>
    </row>
    <row r="8" spans="1:5">
      <c r="A8" t="s">
        <v>202</v>
      </c>
      <c r="B8" t="s">
        <v>202</v>
      </c>
      <c r="C8">
        <f>SUMIFS(tbl_main[med_adopt],tbl_main[vars],tbl_add2005[[#This Row],[label_old]])+SUMIFS(tbl_main[control_priority],tbl_main[vars],tbl_add2005[[#This Row],[label_old]])</f>
        <v>1</v>
      </c>
      <c r="D8">
        <v>1.06241423143002E-2</v>
      </c>
      <c r="E8" t="s">
        <v>203</v>
      </c>
    </row>
    <row r="9" spans="1:5">
      <c r="A9" t="s">
        <v>186</v>
      </c>
      <c r="B9" t="s">
        <v>186</v>
      </c>
      <c r="C9">
        <f>SUMIFS(tbl_main[med_adopt],tbl_main[vars],tbl_add2005[[#This Row],[label_old]])+SUMIFS(tbl_main[control_priority],tbl_main[vars],tbl_add2005[[#This Row],[label_old]])</f>
        <v>0</v>
      </c>
      <c r="D9">
        <v>1.36392113744603E-2</v>
      </c>
      <c r="E9" t="s">
        <v>187</v>
      </c>
    </row>
    <row r="10" spans="1:5">
      <c r="A10" t="s">
        <v>191</v>
      </c>
      <c r="B10" t="s">
        <v>191</v>
      </c>
      <c r="C10">
        <f>SUMIFS(tbl_main[med_adopt],tbl_main[vars],tbl_add2005[[#This Row],[label_old]])+SUMIFS(tbl_main[control_priority],tbl_main[vars],tbl_add2005[[#This Row],[label_old]])</f>
        <v>1</v>
      </c>
      <c r="D10">
        <v>1.23363403883049E-2</v>
      </c>
      <c r="E10" t="s">
        <v>192</v>
      </c>
    </row>
    <row r="11" spans="1:5">
      <c r="A11" t="s">
        <v>163</v>
      </c>
      <c r="B11" t="s">
        <v>163</v>
      </c>
      <c r="C11">
        <f>SUMIFS(tbl_main[med_adopt],tbl_main[vars],tbl_add2005[[#This Row],[label_old]])+SUMIFS(tbl_main[control_priority],tbl_main[vars],tbl_add2005[[#This Row],[label_old]])</f>
        <v>1</v>
      </c>
      <c r="D11">
        <v>8.4557598469732195E-2</v>
      </c>
      <c r="E11" t="s">
        <v>164</v>
      </c>
    </row>
    <row r="12" spans="1:5">
      <c r="A12" t="s">
        <v>379</v>
      </c>
      <c r="B12" t="s">
        <v>380</v>
      </c>
      <c r="C12">
        <f>SUMIFS(tbl_main[med_adopt],tbl_main[vars],tbl_add2005[[#This Row],[label_old]])+SUMIFS(tbl_main[control_priority],tbl_main[vars],tbl_add2005[[#This Row],[label_old]])</f>
        <v>0</v>
      </c>
      <c r="D12">
        <v>2.5948031489912999E-2</v>
      </c>
    </row>
    <row r="13" spans="1:5">
      <c r="A13" t="s">
        <v>357</v>
      </c>
      <c r="B13" t="s">
        <v>381</v>
      </c>
      <c r="C13">
        <f>SUMIFS(tbl_main[med_adopt],tbl_main[vars],tbl_add2005[[#This Row],[label_old]])+SUMIFS(tbl_main[control_priority],tbl_main[vars],tbl_add2005[[#This Row],[label_old]])</f>
        <v>1</v>
      </c>
      <c r="D13">
        <v>2.5494959554442899E-2</v>
      </c>
    </row>
    <row r="14" spans="1:5">
      <c r="A14" t="s">
        <v>367</v>
      </c>
      <c r="B14" t="s">
        <v>300</v>
      </c>
      <c r="C14">
        <f>SUMIFS(tbl_main[med_adopt],tbl_main[vars],tbl_add2005[[#This Row],[label_old]])+SUMIFS(tbl_main[control_priority],tbl_main[vars],tbl_add2005[[#This Row],[label_old]])</f>
        <v>0</v>
      </c>
      <c r="D14">
        <v>3.1466263360452598E-3</v>
      </c>
    </row>
    <row r="15" spans="1:5">
      <c r="A15" t="s">
        <v>193</v>
      </c>
      <c r="B15" t="s">
        <v>193</v>
      </c>
      <c r="C15">
        <f>SUMIFS(tbl_main[med_adopt],tbl_main[vars],tbl_add2005[[#This Row],[label_old]])+SUMIFS(tbl_main[control_priority],tbl_main[vars],tbl_add2005[[#This Row],[label_old]])</f>
        <v>0</v>
      </c>
      <c r="D15">
        <v>4.6041671999455004E-3</v>
      </c>
      <c r="E15" t="s">
        <v>194</v>
      </c>
    </row>
    <row r="16" spans="1:5">
      <c r="A16" t="s">
        <v>291</v>
      </c>
      <c r="B16" t="s">
        <v>291</v>
      </c>
      <c r="C16">
        <f>SUMIFS(tbl_main[med_adopt],tbl_main[vars],tbl_add2005[[#This Row],[label_old]])+SUMIFS(tbl_main[control_priority],tbl_main[vars],tbl_add2005[[#This Row],[label_old]])</f>
        <v>1</v>
      </c>
      <c r="D16">
        <v>1.1708990821485301E-2</v>
      </c>
    </row>
    <row r="17" spans="1:5">
      <c r="A17" t="s">
        <v>179</v>
      </c>
      <c r="B17" t="s">
        <v>179</v>
      </c>
      <c r="C17">
        <f>SUMIFS(tbl_main[med_adopt],tbl_main[vars],tbl_add2005[[#This Row],[label_old]])+SUMIFS(tbl_main[control_priority],tbl_main[vars],tbl_add2005[[#This Row],[label_old]])</f>
        <v>0</v>
      </c>
      <c r="D17">
        <v>6.4818639535798098E-3</v>
      </c>
      <c r="E17" t="s">
        <v>180</v>
      </c>
    </row>
    <row r="18" spans="1:5">
      <c r="A18" t="s">
        <v>355</v>
      </c>
      <c r="B18" t="s">
        <v>377</v>
      </c>
      <c r="C18">
        <f>SUMIFS(tbl_main[med_adopt],tbl_main[vars],tbl_add2005[[#This Row],[label_old]])+SUMIFS(tbl_main[control_priority],tbl_main[vars],tbl_add2005[[#This Row],[label_old]])</f>
        <v>0</v>
      </c>
      <c r="D18">
        <v>4.7239855191869101E-2</v>
      </c>
    </row>
    <row r="19" spans="1:5">
      <c r="A19" t="s">
        <v>290</v>
      </c>
      <c r="B19" t="s">
        <v>290</v>
      </c>
      <c r="C19">
        <f>SUMIFS(tbl_main[med_adopt],tbl_main[vars],tbl_add2005[[#This Row],[label_old]])+SUMIFS(tbl_main[control_priority],tbl_main[vars],tbl_add2005[[#This Row],[label_old]])</f>
        <v>1</v>
      </c>
      <c r="D19">
        <v>3.24617881844258E-5</v>
      </c>
    </row>
    <row r="20" spans="1:5">
      <c r="A20" t="s">
        <v>293</v>
      </c>
      <c r="B20" t="s">
        <v>293</v>
      </c>
      <c r="C20">
        <f>SUMIFS(tbl_main[med_adopt],tbl_main[vars],tbl_add2005[[#This Row],[label_old]])+SUMIFS(tbl_main[control_priority],tbl_main[vars],tbl_add2005[[#This Row],[label_old]])</f>
        <v>1</v>
      </c>
      <c r="D20">
        <v>3.8329344861917099E-4</v>
      </c>
    </row>
    <row r="21" spans="1:5">
      <c r="A21" t="s">
        <v>195</v>
      </c>
      <c r="B21" t="s">
        <v>195</v>
      </c>
      <c r="C21">
        <f>SUMIFS(tbl_main[med_adopt],tbl_main[vars],tbl_add2005[[#This Row],[label_old]])+SUMIFS(tbl_main[control_priority],tbl_main[vars],tbl_add2005[[#This Row],[label_old]])</f>
        <v>0</v>
      </c>
      <c r="D21">
        <v>3.4786372256276003E-2</v>
      </c>
      <c r="E21" t="s">
        <v>196</v>
      </c>
    </row>
    <row r="22" spans="1:5">
      <c r="A22" t="s">
        <v>188</v>
      </c>
      <c r="B22" t="s">
        <v>188</v>
      </c>
      <c r="C22">
        <f>SUMIFS(tbl_main[med_adopt],tbl_main[vars],tbl_add2005[[#This Row],[label_old]])+SUMIFS(tbl_main[control_priority],tbl_main[vars],tbl_add2005[[#This Row],[label_old]])</f>
        <v>1</v>
      </c>
      <c r="D22">
        <v>1.6730840277445799E-2</v>
      </c>
      <c r="E22" t="s">
        <v>189</v>
      </c>
    </row>
    <row r="23" spans="1:5">
      <c r="A23" t="s">
        <v>281</v>
      </c>
      <c r="B23" t="s">
        <v>281</v>
      </c>
      <c r="C23">
        <f>SUMIFS(tbl_main[med_adopt],tbl_main[vars],tbl_add2005[[#This Row],[label_old]])+SUMIFS(tbl_main[control_priority],tbl_main[vars],tbl_add2005[[#This Row],[label_old]])</f>
        <v>0</v>
      </c>
      <c r="D23">
        <v>9.48309893816668E-2</v>
      </c>
      <c r="E23" t="s">
        <v>282</v>
      </c>
    </row>
    <row r="24" spans="1:5">
      <c r="A24" t="s">
        <v>365</v>
      </c>
      <c r="B24" t="s">
        <v>302</v>
      </c>
      <c r="C24">
        <f>SUMIFS(tbl_main[med_adopt],tbl_main[vars],tbl_add2005[[#This Row],[label_old]])+SUMIFS(tbl_main[control_priority],tbl_main[vars],tbl_add2005[[#This Row],[label_old]])</f>
        <v>1</v>
      </c>
      <c r="D24">
        <v>4.9101770427870299E-3</v>
      </c>
    </row>
    <row r="25" spans="1:5">
      <c r="A25" t="s">
        <v>104</v>
      </c>
      <c r="B25" t="s">
        <v>104</v>
      </c>
      <c r="C25">
        <f>SUMIFS(tbl_main[med_adopt],tbl_main[vars],tbl_add2005[[#This Row],[label_old]])+SUMIFS(tbl_main[control_priority],tbl_main[vars],tbl_add2005[[#This Row],[label_old]])</f>
        <v>0</v>
      </c>
      <c r="D25">
        <v>4.2888325698842702E-3</v>
      </c>
      <c r="E25" t="s">
        <v>105</v>
      </c>
    </row>
    <row r="26" spans="1:5">
      <c r="A26" t="s">
        <v>102</v>
      </c>
      <c r="B26" t="s">
        <v>102</v>
      </c>
      <c r="C26">
        <f>SUMIFS(tbl_main[med_adopt],tbl_main[vars],tbl_add2005[[#This Row],[label_old]])+SUMIFS(tbl_main[control_priority],tbl_main[vars],tbl_add2005[[#This Row],[label_old]])</f>
        <v>1</v>
      </c>
      <c r="D26">
        <v>1.01257249629554E-2</v>
      </c>
      <c r="E26" t="s">
        <v>103</v>
      </c>
    </row>
    <row r="27" spans="1:5">
      <c r="A27" t="s">
        <v>108</v>
      </c>
      <c r="B27" t="s">
        <v>108</v>
      </c>
      <c r="C27">
        <f>SUMIFS(tbl_main[med_adopt],tbl_main[vars],tbl_add2005[[#This Row],[label_old]])+SUMIFS(tbl_main[control_priority],tbl_main[vars],tbl_add2005[[#This Row],[label_old]])</f>
        <v>0</v>
      </c>
      <c r="D27">
        <v>1.0611396771269099E-2</v>
      </c>
      <c r="E27" t="s">
        <v>109</v>
      </c>
    </row>
    <row r="28" spans="1:5">
      <c r="A28" t="s">
        <v>361</v>
      </c>
      <c r="B28" t="s">
        <v>305</v>
      </c>
      <c r="C28">
        <f>SUMIFS(tbl_main[med_adopt],tbl_main[vars],tbl_add2005[[#This Row],[label_old]])+SUMIFS(tbl_main[control_priority],tbl_main[vars],tbl_add2005[[#This Row],[label_old]])</f>
        <v>1</v>
      </c>
      <c r="D28">
        <v>7.5194294832401799E-3</v>
      </c>
    </row>
    <row r="29" spans="1:5">
      <c r="A29" t="s">
        <v>366</v>
      </c>
      <c r="B29" t="s">
        <v>306</v>
      </c>
      <c r="C29">
        <f>SUMIFS(tbl_main[med_adopt],tbl_main[vars],tbl_add2005[[#This Row],[label_old]])+SUMIFS(tbl_main[control_priority],tbl_main[vars],tbl_add2005[[#This Row],[label_old]])</f>
        <v>1</v>
      </c>
      <c r="D29">
        <v>3.31156165325883E-3</v>
      </c>
    </row>
    <row r="30" spans="1:5">
      <c r="A30" t="s">
        <v>127</v>
      </c>
      <c r="B30" t="s">
        <v>127</v>
      </c>
      <c r="C30">
        <f>SUMIFS(tbl_main[med_adopt],tbl_main[vars],tbl_add2005[[#This Row],[label_old]])+SUMIFS(tbl_main[control_priority],tbl_main[vars],tbl_add2005[[#This Row],[label_old]])</f>
        <v>1</v>
      </c>
      <c r="D30">
        <v>5.5028228631692003E-2</v>
      </c>
      <c r="E30" t="s">
        <v>128</v>
      </c>
    </row>
    <row r="31" spans="1:5">
      <c r="A31" t="s">
        <v>372</v>
      </c>
      <c r="B31" t="s">
        <v>310</v>
      </c>
      <c r="C31">
        <f>SUMIFS(tbl_main[med_adopt],tbl_main[vars],tbl_add2005[[#This Row],[label_old]])+SUMIFS(tbl_main[control_priority],tbl_main[vars],tbl_add2005[[#This Row],[label_old]])</f>
        <v>1</v>
      </c>
      <c r="D31">
        <v>3.31625965329479E-4</v>
      </c>
    </row>
    <row r="32" spans="1:5">
      <c r="A32" t="s">
        <v>359</v>
      </c>
      <c r="B32" t="s">
        <v>312</v>
      </c>
      <c r="C32">
        <f>SUMIFS(tbl_main[med_adopt],tbl_main[vars],tbl_add2005[[#This Row],[label_old]])+SUMIFS(tbl_main[control_priority],tbl_main[vars],tbl_add2005[[#This Row],[label_old]])</f>
        <v>1</v>
      </c>
      <c r="D32">
        <v>1.20067402513929E-2</v>
      </c>
    </row>
    <row r="33" spans="1:5">
      <c r="A33" t="s">
        <v>364</v>
      </c>
      <c r="B33" t="s">
        <v>304</v>
      </c>
      <c r="C33">
        <f>SUMIFS(tbl_main[med_adopt],tbl_main[vars],tbl_add2005[[#This Row],[label_old]])+SUMIFS(tbl_main[control_priority],tbl_main[vars],tbl_add2005[[#This Row],[label_old]])</f>
        <v>0</v>
      </c>
      <c r="D33">
        <v>4.9986238921544404E-3</v>
      </c>
    </row>
    <row r="34" spans="1:5">
      <c r="A34" t="s">
        <v>363</v>
      </c>
      <c r="B34" t="s">
        <v>313</v>
      </c>
      <c r="C34">
        <f>SUMIFS(tbl_main[med_adopt],tbl_main[vars],tbl_add2005[[#This Row],[label_old]])+SUMIFS(tbl_main[control_priority],tbl_main[vars],tbl_add2005[[#This Row],[label_old]])</f>
        <v>0</v>
      </c>
      <c r="D34">
        <v>6.5243694096531303E-3</v>
      </c>
    </row>
    <row r="35" spans="1:5">
      <c r="A35" t="s">
        <v>369</v>
      </c>
      <c r="B35" t="s">
        <v>303</v>
      </c>
      <c r="C35">
        <f>SUMIFS(tbl_main[med_adopt],tbl_main[vars],tbl_add2005[[#This Row],[label_old]])+SUMIFS(tbl_main[control_priority],tbl_main[vars],tbl_add2005[[#This Row],[label_old]])</f>
        <v>0</v>
      </c>
      <c r="D35">
        <v>7.6149929316782596E-4</v>
      </c>
    </row>
    <row r="36" spans="1:5">
      <c r="A36" t="s">
        <v>371</v>
      </c>
      <c r="B36" t="s">
        <v>308</v>
      </c>
      <c r="C36">
        <f>SUMIFS(tbl_main[med_adopt],tbl_main[vars],tbl_add2005[[#This Row],[label_old]])+SUMIFS(tbl_main[control_priority],tbl_main[vars],tbl_add2005[[#This Row],[label_old]])</f>
        <v>1</v>
      </c>
      <c r="D36">
        <v>5.2544900093546795E-4</v>
      </c>
    </row>
    <row r="37" spans="1:5">
      <c r="A37" t="s">
        <v>370</v>
      </c>
      <c r="B37" t="s">
        <v>309</v>
      </c>
      <c r="C37">
        <f>SUMIFS(tbl_main[med_adopt],tbl_main[vars],tbl_add2005[[#This Row],[label_old]])+SUMIFS(tbl_main[control_priority],tbl_main[vars],tbl_add2005[[#This Row],[label_old]])</f>
        <v>1</v>
      </c>
      <c r="D37">
        <v>6.4444994857320995E-4</v>
      </c>
    </row>
    <row r="38" spans="1:5">
      <c r="A38" t="s">
        <v>69</v>
      </c>
      <c r="B38" t="s">
        <v>69</v>
      </c>
      <c r="C38">
        <f>SUMIFS(tbl_main[med_adopt],tbl_main[vars],tbl_add2005[[#This Row],[label_old]])+SUMIFS(tbl_main[control_priority],tbl_main[vars],tbl_add2005[[#This Row],[label_old]])</f>
        <v>1</v>
      </c>
      <c r="D38">
        <v>1.96260369565638E-3</v>
      </c>
      <c r="E38" t="s">
        <v>70</v>
      </c>
    </row>
    <row r="39" spans="1:5">
      <c r="A39" t="s">
        <v>354</v>
      </c>
      <c r="B39" t="s">
        <v>375</v>
      </c>
      <c r="C39">
        <f>SUMIFS(tbl_main[med_adopt],tbl_main[vars],tbl_add2005[[#This Row],[label_old]])+SUMIFS(tbl_main[control_priority],tbl_main[vars],tbl_add2005[[#This Row],[label_old]])</f>
        <v>1</v>
      </c>
      <c r="D39">
        <v>0.134535492805375</v>
      </c>
    </row>
    <row r="40" spans="1:5">
      <c r="A40" t="s">
        <v>93</v>
      </c>
      <c r="B40" t="s">
        <v>93</v>
      </c>
      <c r="C40">
        <f>SUMIFS(tbl_main[med_adopt],tbl_main[vars],tbl_add2005[[#This Row],[label_old]])+SUMIFS(tbl_main[control_priority],tbl_main[vars],tbl_add2005[[#This Row],[label_old]])</f>
        <v>1</v>
      </c>
      <c r="D40">
        <v>6.4647874185141704E-6</v>
      </c>
      <c r="E40" t="s">
        <v>94</v>
      </c>
    </row>
    <row r="41" spans="1:5">
      <c r="A41" t="s">
        <v>78</v>
      </c>
      <c r="B41" t="s">
        <v>78</v>
      </c>
      <c r="C41">
        <f>SUMIFS(tbl_main[med_adopt],tbl_main[vars],tbl_add2005[[#This Row],[label_old]])+SUMIFS(tbl_main[control_priority],tbl_main[vars],tbl_add2005[[#This Row],[label_old]])</f>
        <v>0</v>
      </c>
      <c r="D41">
        <v>2.6052248970923297E-4</v>
      </c>
      <c r="E41" t="s">
        <v>79</v>
      </c>
    </row>
    <row r="42" spans="1:5">
      <c r="A42" t="s">
        <v>89</v>
      </c>
      <c r="B42" t="s">
        <v>89</v>
      </c>
      <c r="C42">
        <f>SUMIFS(tbl_main[med_adopt],tbl_main[vars],tbl_add2005[[#This Row],[label_old]])+SUMIFS(tbl_main[control_priority],tbl_main[vars],tbl_add2005[[#This Row],[label_old]])</f>
        <v>0</v>
      </c>
      <c r="D42">
        <v>2.0883693605414099E-2</v>
      </c>
      <c r="E42" t="s">
        <v>90</v>
      </c>
    </row>
    <row r="43" spans="1:5">
      <c r="A43" t="s">
        <v>356</v>
      </c>
      <c r="B43" t="s">
        <v>378</v>
      </c>
      <c r="C43">
        <f>SUMIFS(tbl_main[med_adopt],tbl_main[vars],tbl_add2005[[#This Row],[label_old]])+SUMIFS(tbl_main[control_priority],tbl_main[vars],tbl_add2005[[#This Row],[label_old]])</f>
        <v>1</v>
      </c>
      <c r="D43">
        <v>3.2585716420866002E-2</v>
      </c>
    </row>
    <row r="44" spans="1:5">
      <c r="A44" t="s">
        <v>210</v>
      </c>
      <c r="B44" t="s">
        <v>210</v>
      </c>
      <c r="C44">
        <f>SUMIFS(tbl_main[med_adopt],tbl_main[vars],tbl_add2005[[#This Row],[label_old]])+SUMIFS(tbl_main[control_priority],tbl_main[vars],tbl_add2005[[#This Row],[label_old]])</f>
        <v>0</v>
      </c>
      <c r="D44">
        <v>1.8908977409108799E-2</v>
      </c>
      <c r="E44" t="s">
        <v>211</v>
      </c>
    </row>
    <row r="45" spans="1:5">
      <c r="A45" t="s">
        <v>204</v>
      </c>
      <c r="B45" t="s">
        <v>204</v>
      </c>
      <c r="C45">
        <f>SUMIFS(tbl_main[med_adopt],tbl_main[vars],tbl_add2005[[#This Row],[label_old]])+SUMIFS(tbl_main[control_priority],tbl_main[vars],tbl_add2005[[#This Row],[label_old]])</f>
        <v>1</v>
      </c>
      <c r="D45">
        <v>9.7178418370082592E-3</v>
      </c>
      <c r="E45" t="s">
        <v>205</v>
      </c>
    </row>
    <row r="46" spans="1:5">
      <c r="A46" t="s">
        <v>206</v>
      </c>
      <c r="B46" t="s">
        <v>206</v>
      </c>
      <c r="C46">
        <f>SUMIFS(tbl_main[med_adopt],tbl_main[vars],tbl_add2005[[#This Row],[label_old]])+SUMIFS(tbl_main[control_priority],tbl_main[vars],tbl_add2005[[#This Row],[label_old]])</f>
        <v>0</v>
      </c>
      <c r="D46">
        <v>3.6052737663824302E-2</v>
      </c>
      <c r="E46" t="s">
        <v>207</v>
      </c>
    </row>
    <row r="47" spans="1:5">
      <c r="A47" t="s">
        <v>386</v>
      </c>
      <c r="B47" t="s">
        <v>386</v>
      </c>
      <c r="C47" s="14">
        <f>SUMIFS(tbl_main[med_adopt],tbl_main[vars],tbl_add2005[[#This Row],[label_old]])+SUMIFS(tbl_main[control_priority],tbl_main[vars],tbl_add2005[[#This Row],[label_old]])</f>
        <v>1</v>
      </c>
    </row>
    <row r="48" spans="1:5">
      <c r="A48" t="s">
        <v>222</v>
      </c>
      <c r="B48" t="s">
        <v>222</v>
      </c>
      <c r="C48">
        <f>SUMIFS(tbl_main[med_adopt],tbl_main[vars],tbl_add2005[[#This Row],[label_old]])+SUMIFS(tbl_main[control_priority],tbl_main[vars],tbl_add2005[[#This Row],[label_old]])</f>
        <v>1</v>
      </c>
      <c r="D48">
        <v>2.1378652306388898E-2</v>
      </c>
      <c r="E48" t="s">
        <v>223</v>
      </c>
    </row>
    <row r="49" spans="1:5">
      <c r="A49" t="s">
        <v>218</v>
      </c>
      <c r="B49" t="s">
        <v>218</v>
      </c>
      <c r="C49">
        <f>SUMIFS(tbl_main[med_adopt],tbl_main[vars],tbl_add2005[[#This Row],[label_old]])+SUMIFS(tbl_main[control_priority],tbl_main[vars],tbl_add2005[[#This Row],[label_old]])</f>
        <v>1</v>
      </c>
      <c r="D49">
        <v>8.2377512117136106E-5</v>
      </c>
      <c r="E49" t="s">
        <v>219</v>
      </c>
    </row>
    <row r="50" spans="1:5">
      <c r="A50" t="s">
        <v>208</v>
      </c>
      <c r="B50" t="s">
        <v>208</v>
      </c>
      <c r="C50">
        <f>SUMIFS(tbl_main[med_adopt],tbl_main[vars],tbl_add2005[[#This Row],[label_old]])+SUMIFS(tbl_main[control_priority],tbl_main[vars],tbl_add2005[[#This Row],[label_old]])</f>
        <v>0</v>
      </c>
      <c r="D50">
        <v>1.0302561738019E-2</v>
      </c>
      <c r="E50" t="s">
        <v>209</v>
      </c>
    </row>
    <row r="51" spans="1:5">
      <c r="A51" t="s">
        <v>384</v>
      </c>
      <c r="B51" s="14" t="s">
        <v>384</v>
      </c>
      <c r="C51" s="14">
        <f>SUMIFS(tbl_main[med_adopt],tbl_main[vars],tbl_add2005[[#This Row],[label_old]])+SUMIFS(tbl_main[control_priority],tbl_main[vars],tbl_add2005[[#This Row],[label_old]])</f>
        <v>1</v>
      </c>
    </row>
    <row r="52" spans="1:5">
      <c r="A52" t="s">
        <v>248</v>
      </c>
      <c r="B52" t="s">
        <v>248</v>
      </c>
      <c r="C52">
        <f>SUMIFS(tbl_main[med_adopt],tbl_main[vars],tbl_add2005[[#This Row],[label_old]])+SUMIFS(tbl_main[control_priority],tbl_main[vars],tbl_add2005[[#This Row],[label_old]])</f>
        <v>0</v>
      </c>
      <c r="D52">
        <v>7.2580110154009704E-3</v>
      </c>
      <c r="E52" t="s">
        <v>249</v>
      </c>
    </row>
    <row r="53" spans="1:5">
      <c r="A53" t="s">
        <v>242</v>
      </c>
      <c r="B53" t="s">
        <v>242</v>
      </c>
      <c r="C53">
        <f>SUMIFS(tbl_main[med_adopt],tbl_main[vars],tbl_add2005[[#This Row],[label_old]])+SUMIFS(tbl_main[control_priority],tbl_main[vars],tbl_add2005[[#This Row],[label_old]])</f>
        <v>0</v>
      </c>
      <c r="D53">
        <v>1.9327311278854099E-2</v>
      </c>
      <c r="E53" t="s">
        <v>358</v>
      </c>
    </row>
    <row r="54" spans="1:5">
      <c r="A54" t="s">
        <v>220</v>
      </c>
      <c r="B54" t="s">
        <v>220</v>
      </c>
      <c r="C54">
        <f>SUMIFS(tbl_main[med_adopt],tbl_main[vars],tbl_add2005[[#This Row],[label_old]])+SUMIFS(tbl_main[control_priority],tbl_main[vars],tbl_add2005[[#This Row],[label_old]])</f>
        <v>0</v>
      </c>
      <c r="D54">
        <v>1.65658951866984E-2</v>
      </c>
      <c r="E54" t="s">
        <v>221</v>
      </c>
    </row>
    <row r="55" spans="1:5">
      <c r="A55" t="s">
        <v>273</v>
      </c>
      <c r="B55" s="14" t="s">
        <v>273</v>
      </c>
      <c r="C55" s="14">
        <f>SUMIFS(tbl_main[med_adopt],tbl_main[vars],tbl_add2005[[#This Row],[label_old]])+SUMIFS(tbl_main[control_priority],tbl_main[vars],tbl_add2005[[#This Row],[label_old]])</f>
        <v>1</v>
      </c>
    </row>
    <row r="56" spans="1:5">
      <c r="A56" t="s">
        <v>269</v>
      </c>
      <c r="B56" t="s">
        <v>269</v>
      </c>
      <c r="C56">
        <f>SUMIFS(tbl_main[med_adopt],tbl_main[vars],tbl_add2005[[#This Row],[label_old]])+SUMIFS(tbl_main[control_priority],tbl_main[vars],tbl_add2005[[#This Row],[label_old]])</f>
        <v>0</v>
      </c>
      <c r="D56">
        <v>2.0483005488056601E-2</v>
      </c>
      <c r="E56" t="s">
        <v>270</v>
      </c>
    </row>
    <row r="57" spans="1:5">
      <c r="A57" t="s">
        <v>267</v>
      </c>
      <c r="B57" t="s">
        <v>267</v>
      </c>
      <c r="C57">
        <f>SUMIFS(tbl_main[med_adopt],tbl_main[vars],tbl_add2005[[#This Row],[label_old]])+SUMIFS(tbl_main[control_priority],tbl_main[vars],tbl_add2005[[#This Row],[label_old]])</f>
        <v>0</v>
      </c>
      <c r="D57">
        <v>8.5583060217507003E-4</v>
      </c>
      <c r="E57" t="s">
        <v>268</v>
      </c>
    </row>
    <row r="58" spans="1:5">
      <c r="A58" t="s">
        <v>254</v>
      </c>
      <c r="B58" t="s">
        <v>254</v>
      </c>
      <c r="C58">
        <f>SUMIFS(tbl_main[med_adopt],tbl_main[vars],tbl_add2005[[#This Row],[label_old]])+SUMIFS(tbl_main[control_priority],tbl_main[vars],tbl_add2005[[#This Row],[label_old]])</f>
        <v>0</v>
      </c>
      <c r="D58">
        <v>2.5925758873516702E-3</v>
      </c>
      <c r="E58" t="s">
        <v>255</v>
      </c>
    </row>
    <row r="59" spans="1:5">
      <c r="A59" t="s">
        <v>362</v>
      </c>
      <c r="B59" t="s">
        <v>298</v>
      </c>
      <c r="C59">
        <f>SUMIFS(tbl_main[med_adopt],tbl_main[vars],tbl_add2005[[#This Row],[label_old]])+SUMIFS(tbl_main[control_priority],tbl_main[vars],tbl_add2005[[#This Row],[label_old]])</f>
        <v>0</v>
      </c>
      <c r="D59">
        <v>6.7879247317871802E-3</v>
      </c>
    </row>
    <row r="60" spans="1:5">
      <c r="A60" t="s">
        <v>257</v>
      </c>
      <c r="B60" t="s">
        <v>257</v>
      </c>
      <c r="C60">
        <f>SUMIFS(tbl_main[med_adopt],tbl_main[vars],tbl_add2005[[#This Row],[label_old]])+SUMIFS(tbl_main[control_priority],tbl_main[vars],tbl_add2005[[#This Row],[label_old]])</f>
        <v>0</v>
      </c>
      <c r="D60">
        <v>4.7687979700082803E-3</v>
      </c>
      <c r="E60" t="s">
        <v>258</v>
      </c>
    </row>
    <row r="61" spans="1:5">
      <c r="A61" t="s">
        <v>261</v>
      </c>
      <c r="B61" t="s">
        <v>261</v>
      </c>
      <c r="C61">
        <f>SUMIFS(tbl_main[med_adopt],tbl_main[vars],tbl_add2005[[#This Row],[label_old]])+SUMIFS(tbl_main[control_priority],tbl_main[vars],tbl_add2005[[#This Row],[label_old]])</f>
        <v>0</v>
      </c>
      <c r="D61">
        <v>5.7432889536158998E-3</v>
      </c>
      <c r="E61" t="s">
        <v>262</v>
      </c>
    </row>
    <row r="62" spans="1:5">
      <c r="A62" t="s">
        <v>57</v>
      </c>
      <c r="B62" t="s">
        <v>57</v>
      </c>
      <c r="C62">
        <f>SUMIFS(tbl_main[med_adopt],tbl_main[vars],tbl_add2005[[#This Row],[label_old]])+SUMIFS(tbl_main[control_priority],tbl_main[vars],tbl_add2005[[#This Row],[label_old]])</f>
        <v>1</v>
      </c>
      <c r="D62">
        <v>1.6299129378606801E-2</v>
      </c>
      <c r="E62" t="s">
        <v>58</v>
      </c>
    </row>
    <row r="63" spans="1:5">
      <c r="A63" t="s">
        <v>36</v>
      </c>
      <c r="B63" t="s">
        <v>36</v>
      </c>
      <c r="C63">
        <f>SUMIFS(tbl_main[med_adopt],tbl_main[vars],tbl_add2005[[#This Row],[label_old]])+SUMIFS(tbl_main[control_priority],tbl_main[vars],tbl_add2005[[#This Row],[label_old]])</f>
        <v>0</v>
      </c>
      <c r="D63">
        <v>4.2833583724593199E-2</v>
      </c>
      <c r="E63" t="s">
        <v>37</v>
      </c>
    </row>
    <row r="64" spans="1:5">
      <c r="A64" t="s">
        <v>314</v>
      </c>
      <c r="B64" t="s">
        <v>314</v>
      </c>
      <c r="C64">
        <f>SUMIFS(tbl_main[med_adopt],tbl_main[vars],tbl_add2005[[#This Row],[label_old]])+SUMIFS(tbl_main[control_priority],tbl_main[vars],tbl_add2005[[#This Row],[label_old]])</f>
        <v>1</v>
      </c>
      <c r="D64">
        <v>1.2879612707323801E-2</v>
      </c>
    </row>
    <row r="65" spans="1:5">
      <c r="A65" t="s">
        <v>39</v>
      </c>
      <c r="B65" t="s">
        <v>39</v>
      </c>
      <c r="C65">
        <f>SUMIFS(tbl_main[med_adopt],tbl_main[vars],tbl_add2005[[#This Row],[label_old]])+SUMIFS(tbl_main[control_priority],tbl_main[vars],tbl_add2005[[#This Row],[label_old]])</f>
        <v>0</v>
      </c>
      <c r="D65">
        <v>4.0783687226444799E-2</v>
      </c>
      <c r="E65" t="s">
        <v>40</v>
      </c>
    </row>
    <row r="66" spans="1:5">
      <c r="A66" t="s">
        <v>45</v>
      </c>
      <c r="B66" t="s">
        <v>45</v>
      </c>
      <c r="C66">
        <f>SUMIFS(tbl_main[med_adopt],tbl_main[vars],tbl_add2005[[#This Row],[label_old]])+SUMIFS(tbl_main[control_priority],tbl_main[vars],tbl_add2005[[#This Row],[label_old]])</f>
        <v>0</v>
      </c>
      <c r="D66">
        <v>7.7423094909941804E-3</v>
      </c>
      <c r="E66" t="s">
        <v>46</v>
      </c>
    </row>
    <row r="67" spans="1:5">
      <c r="A67" t="s">
        <v>55</v>
      </c>
      <c r="B67" t="s">
        <v>55</v>
      </c>
      <c r="C67">
        <f>SUMIFS(tbl_main[med_adopt],tbl_main[vars],tbl_add2005[[#This Row],[label_old]])+SUMIFS(tbl_main[control_priority],tbl_main[vars],tbl_add2005[[#This Row],[label_old]])</f>
        <v>0</v>
      </c>
      <c r="D67">
        <v>5.0124775721289098E-3</v>
      </c>
      <c r="E67" t="s">
        <v>56</v>
      </c>
    </row>
    <row r="68" spans="1:5">
      <c r="A68" t="s">
        <v>9</v>
      </c>
      <c r="B68" t="s">
        <v>9</v>
      </c>
      <c r="C68">
        <f>SUMIFS(tbl_main[med_adopt],tbl_main[vars],tbl_add2005[[#This Row],[label_old]])+SUMIFS(tbl_main[control_priority],tbl_main[vars],tbl_add2005[[#This Row],[label_old]])</f>
        <v>1</v>
      </c>
      <c r="D68">
        <v>9.9112630233710898E-3</v>
      </c>
      <c r="E68" t="s">
        <v>10</v>
      </c>
    </row>
    <row r="69" spans="1:5">
      <c r="A69" t="s">
        <v>23</v>
      </c>
      <c r="B69" t="s">
        <v>23</v>
      </c>
      <c r="D69">
        <v>1.7417627068101401E-2</v>
      </c>
      <c r="E69" t="s">
        <v>24</v>
      </c>
    </row>
    <row r="70" spans="1:5">
      <c r="A70" t="s">
        <v>11</v>
      </c>
      <c r="B70" t="s">
        <v>11</v>
      </c>
      <c r="C70">
        <f>SUMIFS(tbl_main[med_adopt],tbl_main[vars],tbl_add2005[[#This Row],[label_old]])+SUMIFS(tbl_main[control_priority],tbl_main[vars],tbl_add2005[[#This Row],[label_old]])</f>
        <v>0</v>
      </c>
      <c r="D70">
        <v>1.7624796402445998E-2</v>
      </c>
      <c r="E70" t="s">
        <v>12</v>
      </c>
    </row>
    <row r="71" spans="1:5">
      <c r="A71" t="s">
        <v>15</v>
      </c>
      <c r="B71" t="s">
        <v>15</v>
      </c>
      <c r="C71">
        <f>SUMIFS(tbl_main[med_adopt],tbl_main[vars],tbl_add2005[[#This Row],[label_old]])+SUMIFS(tbl_main[control_priority],tbl_main[vars],tbl_add2005[[#This Row],[label_old]])</f>
        <v>0</v>
      </c>
      <c r="D71">
        <v>3.9791334956710599E-3</v>
      </c>
      <c r="E71" t="s">
        <v>16</v>
      </c>
    </row>
    <row r="72" spans="1:5">
      <c r="A72" t="s">
        <v>368</v>
      </c>
      <c r="B72" t="s">
        <v>368</v>
      </c>
      <c r="C72">
        <f>SUMIFS(tbl_main[med_adopt],tbl_main[vars],tbl_add2005[[#This Row],[label_old]])+SUMIFS(tbl_main[control_priority],tbl_main[vars],tbl_add2005[[#This Row],[label_old]])</f>
        <v>0</v>
      </c>
      <c r="D72">
        <v>1.20827666925382E-3</v>
      </c>
    </row>
    <row r="73" spans="1:5">
      <c r="A73" t="s">
        <v>373</v>
      </c>
      <c r="B73" t="s">
        <v>325</v>
      </c>
      <c r="C73">
        <f>SUMIFS(tbl_main[med_adopt],tbl_main[vars],tbl_add2005[[#This Row],[label_old]])+SUMIFS(tbl_main[control_priority],tbl_main[vars],tbl_add2005[[#This Row],[label_old]])</f>
        <v>1</v>
      </c>
      <c r="D73">
        <v>2.3001691724145302E-17</v>
      </c>
    </row>
    <row r="74" spans="1:5">
      <c r="A74" t="s">
        <v>25</v>
      </c>
      <c r="B74" t="s">
        <v>25</v>
      </c>
      <c r="C74">
        <f>SUMIFS(tbl_main[med_adopt],tbl_main[vars],tbl_add2005[[#This Row],[label_old]])+SUMIFS(tbl_main[control_priority],tbl_main[vars],tbl_add2005[[#This Row],[label_old]])</f>
        <v>0</v>
      </c>
      <c r="D74">
        <v>1.3150356919690199E-2</v>
      </c>
      <c r="E74" t="s">
        <v>26</v>
      </c>
    </row>
    <row r="75" spans="1:5">
      <c r="A75" t="s">
        <v>21</v>
      </c>
      <c r="B75" t="s">
        <v>21</v>
      </c>
      <c r="C75">
        <f>SUMIFS(tbl_main[med_adopt],tbl_main[vars],tbl_add2005[[#This Row],[label_old]])+SUMIFS(tbl_main[control_priority],tbl_main[vars],tbl_add2005[[#This Row],[label_old]])</f>
        <v>1</v>
      </c>
      <c r="D75">
        <v>8.3057369464052191E-3</v>
      </c>
      <c r="E75" t="s">
        <v>22</v>
      </c>
    </row>
    <row r="76" spans="1:5">
      <c r="A76" t="s">
        <v>34</v>
      </c>
      <c r="B76" t="s">
        <v>34</v>
      </c>
      <c r="C76">
        <f>SUMIFS(tbl_main[med_adopt],tbl_main[vars],tbl_add2005[[#This Row],[label_old]])+SUMIFS(tbl_main[control_priority],tbl_main[vars],tbl_add2005[[#This Row],[label_old]])</f>
        <v>1</v>
      </c>
      <c r="D76">
        <v>4.9966859020566202E-3</v>
      </c>
      <c r="E76" t="s">
        <v>35</v>
      </c>
    </row>
    <row r="77" spans="1:5">
      <c r="A77" t="s">
        <v>360</v>
      </c>
      <c r="B77" t="s">
        <v>324</v>
      </c>
      <c r="C77">
        <f>SUMIFS(tbl_main[med_adopt],tbl_main[vars],tbl_add2005[[#This Row],[label_old]])+SUMIFS(tbl_main[control_priority],tbl_main[vars],tbl_add2005[[#This Row],[label_old]])</f>
        <v>0</v>
      </c>
      <c r="D77">
        <v>9.3018856754576995E-3</v>
      </c>
    </row>
    <row r="78" spans="1:5">
      <c r="A78" t="s">
        <v>320</v>
      </c>
      <c r="B78" t="s">
        <v>320</v>
      </c>
      <c r="C78">
        <f>SUMIFS(tbl_main[med_adopt],tbl_main[vars],tbl_add2005[[#This Row],[label_old]])+SUMIFS(tbl_main[control_priority],tbl_main[vars],tbl_add2005[[#This Row],[label_old]])</f>
        <v>0</v>
      </c>
      <c r="D78">
        <v>1.4751533344755499E-2</v>
      </c>
    </row>
    <row r="79" spans="1:5">
      <c r="A79" t="s">
        <v>319</v>
      </c>
      <c r="B79" t="s">
        <v>319</v>
      </c>
      <c r="C79">
        <f>SUMIFS(tbl_main[med_adopt],tbl_main[vars],tbl_add2005[[#This Row],[label_old]])+SUMIFS(tbl_main[control_priority],tbl_main[vars],tbl_add2005[[#This Row],[label_old]])</f>
        <v>0</v>
      </c>
      <c r="D79">
        <v>1.8889408331562E-3</v>
      </c>
    </row>
    <row r="80" spans="1:5">
      <c r="A80" t="s">
        <v>317</v>
      </c>
      <c r="B80" t="s">
        <v>317</v>
      </c>
      <c r="C80">
        <f>SUMIFS(tbl_main[med_adopt],tbl_main[vars],tbl_add2005[[#This Row],[label_old]])+SUMIFS(tbl_main[control_priority],tbl_main[vars],tbl_add2005[[#This Row],[label_old]])</f>
        <v>0</v>
      </c>
      <c r="D80">
        <v>2.6473682775069E-3</v>
      </c>
    </row>
  </sheetData>
  <phoneticPr fontId="1"/>
  <conditionalFormatting sqref="A2:A80">
    <cfRule type="expression" dxfId="3" priority="2">
      <formula>C2&gt;0</formula>
    </cfRule>
  </conditionalFormatting>
  <conditionalFormatting sqref="B47">
    <cfRule type="expression" dxfId="2" priority="1">
      <formula>D47&gt;0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F12F-6215-3D4A-8A4D-6CA315599238}">
  <dimension ref="A1:D43"/>
  <sheetViews>
    <sheetView tabSelected="1" zoomScale="140" zoomScaleNormal="140" workbookViewId="0">
      <selection activeCell="B30" sqref="B30"/>
    </sheetView>
  </sheetViews>
  <sheetFormatPr baseColWidth="10" defaultRowHeight="15"/>
  <cols>
    <col min="1" max="1" width="8.83203125" customWidth="1"/>
    <col min="2" max="2" width="26.5" bestFit="1" customWidth="1"/>
    <col min="3" max="3" width="20.83203125" customWidth="1"/>
    <col min="4" max="4" width="84.6640625" bestFit="1" customWidth="1"/>
  </cols>
  <sheetData>
    <row r="1" spans="1:4">
      <c r="A1" s="11"/>
      <c r="B1" s="12"/>
      <c r="C1" s="12"/>
    </row>
    <row r="2" spans="1:4">
      <c r="A2" s="17" t="s">
        <v>388</v>
      </c>
      <c r="B2" s="17" t="s">
        <v>387</v>
      </c>
      <c r="C2" s="17" t="s">
        <v>423</v>
      </c>
      <c r="D2" s="17" t="s">
        <v>328</v>
      </c>
    </row>
    <row r="3" spans="1:4">
      <c r="A3" s="16">
        <v>1</v>
      </c>
      <c r="B3" s="12" t="s">
        <v>389</v>
      </c>
      <c r="C3" s="18" t="s">
        <v>425</v>
      </c>
      <c r="D3" s="12" t="s">
        <v>97</v>
      </c>
    </row>
    <row r="4" spans="1:4">
      <c r="A4" s="12">
        <v>2</v>
      </c>
      <c r="B4" s="12" t="s">
        <v>398</v>
      </c>
      <c r="C4" s="18" t="s">
        <v>425</v>
      </c>
      <c r="D4" s="12" t="s">
        <v>77</v>
      </c>
    </row>
    <row r="5" spans="1:4">
      <c r="A5" s="12">
        <v>3</v>
      </c>
      <c r="B5" s="12" t="s">
        <v>69</v>
      </c>
      <c r="C5" s="18" t="s">
        <v>425</v>
      </c>
      <c r="D5" s="12" t="s">
        <v>70</v>
      </c>
    </row>
    <row r="6" spans="1:4">
      <c r="A6" s="12">
        <v>4</v>
      </c>
      <c r="B6" s="12" t="s">
        <v>399</v>
      </c>
      <c r="C6" s="18" t="s">
        <v>425</v>
      </c>
      <c r="D6" s="12" t="s">
        <v>86</v>
      </c>
    </row>
    <row r="7" spans="1:4">
      <c r="A7" s="12">
        <v>5</v>
      </c>
      <c r="B7" s="12" t="s">
        <v>400</v>
      </c>
      <c r="C7" s="18" t="s">
        <v>426</v>
      </c>
      <c r="D7" s="12" t="s">
        <v>2</v>
      </c>
    </row>
    <row r="8" spans="1:4">
      <c r="A8" s="12">
        <v>6</v>
      </c>
      <c r="B8" s="12" t="s">
        <v>411</v>
      </c>
      <c r="C8" s="18" t="s">
        <v>424</v>
      </c>
      <c r="D8" s="12" t="s">
        <v>412</v>
      </c>
    </row>
    <row r="9" spans="1:4">
      <c r="A9" s="12">
        <v>7</v>
      </c>
      <c r="B9" s="12" t="s">
        <v>9</v>
      </c>
      <c r="C9" s="18" t="s">
        <v>424</v>
      </c>
      <c r="D9" s="12" t="s">
        <v>10</v>
      </c>
    </row>
    <row r="10" spans="1:4">
      <c r="A10" s="12">
        <v>8</v>
      </c>
      <c r="B10" s="12" t="s">
        <v>21</v>
      </c>
      <c r="C10" s="18" t="s">
        <v>426</v>
      </c>
      <c r="D10" s="12" t="s">
        <v>22</v>
      </c>
    </row>
    <row r="11" spans="1:4">
      <c r="A11" s="12">
        <v>9</v>
      </c>
      <c r="B11" s="12" t="s">
        <v>34</v>
      </c>
      <c r="C11" s="18" t="s">
        <v>426</v>
      </c>
      <c r="D11" s="12" t="s">
        <v>35</v>
      </c>
    </row>
    <row r="12" spans="1:4">
      <c r="A12" s="12">
        <v>10</v>
      </c>
      <c r="B12" s="12" t="s">
        <v>93</v>
      </c>
      <c r="C12" s="18" t="s">
        <v>426</v>
      </c>
      <c r="D12" s="12" t="s">
        <v>94</v>
      </c>
    </row>
    <row r="13" spans="1:4">
      <c r="A13" s="12">
        <v>11</v>
      </c>
      <c r="B13" s="12" t="s">
        <v>102</v>
      </c>
      <c r="C13" s="18" t="s">
        <v>424</v>
      </c>
      <c r="D13" s="12" t="s">
        <v>103</v>
      </c>
    </row>
    <row r="14" spans="1:4">
      <c r="A14" s="12">
        <v>12</v>
      </c>
      <c r="B14" s="12" t="s">
        <v>401</v>
      </c>
      <c r="C14" s="19" t="s">
        <v>430</v>
      </c>
      <c r="D14" s="12" t="s">
        <v>287</v>
      </c>
    </row>
    <row r="15" spans="1:4">
      <c r="A15" s="12">
        <v>13</v>
      </c>
      <c r="B15" s="12" t="s">
        <v>402</v>
      </c>
      <c r="C15" s="19" t="s">
        <v>430</v>
      </c>
      <c r="D15" s="12" t="s">
        <v>162</v>
      </c>
    </row>
    <row r="16" spans="1:4">
      <c r="A16" s="12">
        <v>14</v>
      </c>
      <c r="B16" s="12" t="s">
        <v>384</v>
      </c>
      <c r="C16" s="20" t="s">
        <v>431</v>
      </c>
      <c r="D16" s="15" t="s">
        <v>247</v>
      </c>
    </row>
    <row r="17" spans="1:4">
      <c r="A17" s="12">
        <v>15</v>
      </c>
      <c r="B17" s="12" t="s">
        <v>403</v>
      </c>
      <c r="C17" s="20" t="s">
        <v>431</v>
      </c>
      <c r="D17" s="15" t="s">
        <v>274</v>
      </c>
    </row>
    <row r="18" spans="1:4">
      <c r="A18" s="12">
        <v>16</v>
      </c>
      <c r="B18" s="12" t="s">
        <v>405</v>
      </c>
      <c r="C18" s="19" t="s">
        <v>430</v>
      </c>
      <c r="D18" s="15" t="s">
        <v>413</v>
      </c>
    </row>
    <row r="19" spans="1:4">
      <c r="A19" s="12">
        <v>17</v>
      </c>
      <c r="B19" s="12" t="s">
        <v>406</v>
      </c>
      <c r="C19" s="20" t="s">
        <v>431</v>
      </c>
      <c r="D19" s="15" t="s">
        <v>414</v>
      </c>
    </row>
    <row r="20" spans="1:4">
      <c r="A20" s="12">
        <v>18</v>
      </c>
      <c r="B20" s="12" t="s">
        <v>407</v>
      </c>
      <c r="C20" s="21" t="s">
        <v>432</v>
      </c>
      <c r="D20" s="12" t="s">
        <v>286</v>
      </c>
    </row>
    <row r="21" spans="1:4">
      <c r="A21" s="12">
        <v>19</v>
      </c>
      <c r="B21" s="12" t="s">
        <v>404</v>
      </c>
      <c r="C21" s="21" t="s">
        <v>432</v>
      </c>
      <c r="D21" s="12" t="s">
        <v>38</v>
      </c>
    </row>
    <row r="22" spans="1:4">
      <c r="A22" s="12">
        <v>20</v>
      </c>
      <c r="B22" s="12" t="s">
        <v>408</v>
      </c>
      <c r="C22" s="21" t="s">
        <v>432</v>
      </c>
      <c r="D22" s="12" t="s">
        <v>164</v>
      </c>
    </row>
    <row r="23" spans="1:4">
      <c r="A23" s="12">
        <v>21</v>
      </c>
      <c r="B23" s="12" t="s">
        <v>391</v>
      </c>
      <c r="C23" s="21" t="s">
        <v>432</v>
      </c>
      <c r="D23" s="12" t="s">
        <v>139</v>
      </c>
    </row>
    <row r="24" spans="1:4">
      <c r="A24" s="12">
        <v>22</v>
      </c>
      <c r="B24" s="12" t="s">
        <v>188</v>
      </c>
      <c r="C24" s="22" t="s">
        <v>433</v>
      </c>
      <c r="D24" s="12" t="s">
        <v>189</v>
      </c>
    </row>
    <row r="25" spans="1:4">
      <c r="A25" s="12">
        <v>23</v>
      </c>
      <c r="B25" s="12" t="s">
        <v>204</v>
      </c>
      <c r="C25" s="22" t="s">
        <v>433</v>
      </c>
      <c r="D25" s="12" t="s">
        <v>205</v>
      </c>
    </row>
    <row r="26" spans="1:4">
      <c r="A26" s="12">
        <v>24</v>
      </c>
      <c r="B26" s="12" t="s">
        <v>222</v>
      </c>
      <c r="C26" s="22" t="s">
        <v>433</v>
      </c>
      <c r="D26" s="12" t="s">
        <v>223</v>
      </c>
    </row>
    <row r="27" spans="1:4">
      <c r="A27" s="12">
        <v>25</v>
      </c>
      <c r="B27" s="12" t="s">
        <v>218</v>
      </c>
      <c r="C27" s="22" t="s">
        <v>433</v>
      </c>
      <c r="D27" s="12" t="s">
        <v>219</v>
      </c>
    </row>
    <row r="28" spans="1:4">
      <c r="A28" s="12">
        <v>26</v>
      </c>
      <c r="B28" s="12" t="s">
        <v>386</v>
      </c>
      <c r="C28" s="22" t="s">
        <v>433</v>
      </c>
      <c r="D28" s="15" t="s">
        <v>233</v>
      </c>
    </row>
    <row r="29" spans="1:4">
      <c r="A29" s="12">
        <v>27</v>
      </c>
      <c r="B29" s="12" t="s">
        <v>409</v>
      </c>
      <c r="C29" s="22" t="s">
        <v>433</v>
      </c>
      <c r="D29" s="12" t="s">
        <v>58</v>
      </c>
    </row>
    <row r="30" spans="1:4">
      <c r="A30" s="12">
        <v>28</v>
      </c>
      <c r="B30" s="12" t="s">
        <v>191</v>
      </c>
      <c r="C30" s="22" t="s">
        <v>433</v>
      </c>
      <c r="D30" s="12" t="s">
        <v>192</v>
      </c>
    </row>
    <row r="31" spans="1:4">
      <c r="A31" s="12">
        <v>29</v>
      </c>
      <c r="B31" s="12" t="s">
        <v>410</v>
      </c>
      <c r="C31" s="22" t="s">
        <v>433</v>
      </c>
      <c r="D31" s="12" t="s">
        <v>284</v>
      </c>
    </row>
    <row r="32" spans="1:4">
      <c r="A32" s="12">
        <v>30</v>
      </c>
      <c r="B32" s="3" t="s">
        <v>427</v>
      </c>
      <c r="C32" s="22" t="s">
        <v>433</v>
      </c>
      <c r="D32" s="1" t="s">
        <v>190</v>
      </c>
    </row>
    <row r="33" spans="1:4">
      <c r="A33" s="12">
        <v>31</v>
      </c>
      <c r="B33" s="12" t="s">
        <v>390</v>
      </c>
      <c r="C33" s="22" t="s">
        <v>433</v>
      </c>
      <c r="D33" s="12" t="s">
        <v>167</v>
      </c>
    </row>
    <row r="34" spans="1:4">
      <c r="A34" s="12">
        <v>32</v>
      </c>
      <c r="B34" s="12" t="s">
        <v>416</v>
      </c>
      <c r="C34" s="23" t="s">
        <v>429</v>
      </c>
      <c r="D34" s="15" t="s">
        <v>415</v>
      </c>
    </row>
    <row r="35" spans="1:4">
      <c r="A35" s="12">
        <v>33</v>
      </c>
      <c r="B35" s="12" t="s">
        <v>395</v>
      </c>
      <c r="C35" s="23" t="s">
        <v>428</v>
      </c>
      <c r="D35" s="12" t="s">
        <v>119</v>
      </c>
    </row>
    <row r="36" spans="1:4">
      <c r="A36" s="12">
        <v>34</v>
      </c>
      <c r="B36" s="12" t="s">
        <v>397</v>
      </c>
      <c r="C36" s="23" t="s">
        <v>428</v>
      </c>
      <c r="D36" s="12" t="s">
        <v>122</v>
      </c>
    </row>
    <row r="37" spans="1:4">
      <c r="A37" s="12">
        <v>35</v>
      </c>
      <c r="B37" s="12" t="s">
        <v>396</v>
      </c>
      <c r="C37" s="23" t="s">
        <v>428</v>
      </c>
      <c r="D37" s="12" t="s">
        <v>123</v>
      </c>
    </row>
    <row r="38" spans="1:4">
      <c r="A38" s="12">
        <v>36</v>
      </c>
      <c r="B38" s="12" t="s">
        <v>418</v>
      </c>
      <c r="C38" s="23" t="s">
        <v>428</v>
      </c>
      <c r="D38" s="15" t="s">
        <v>417</v>
      </c>
    </row>
    <row r="39" spans="1:4">
      <c r="A39" s="12">
        <v>37</v>
      </c>
      <c r="B39" s="12" t="s">
        <v>420</v>
      </c>
      <c r="C39" s="23" t="s">
        <v>428</v>
      </c>
      <c r="D39" s="12" t="s">
        <v>419</v>
      </c>
    </row>
    <row r="40" spans="1:4">
      <c r="A40" s="12">
        <v>38</v>
      </c>
      <c r="B40" s="12" t="s">
        <v>392</v>
      </c>
      <c r="C40" s="23" t="s">
        <v>428</v>
      </c>
      <c r="D40" s="12" t="s">
        <v>126</v>
      </c>
    </row>
    <row r="41" spans="1:4">
      <c r="A41" s="12">
        <v>39</v>
      </c>
      <c r="B41" s="12" t="s">
        <v>393</v>
      </c>
      <c r="C41" s="23" t="s">
        <v>428</v>
      </c>
      <c r="D41" s="12" t="s">
        <v>125</v>
      </c>
    </row>
    <row r="42" spans="1:4">
      <c r="A42" s="12">
        <v>40</v>
      </c>
      <c r="B42" s="12" t="s">
        <v>421</v>
      </c>
      <c r="C42" s="23" t="s">
        <v>428</v>
      </c>
      <c r="D42" s="15" t="s">
        <v>422</v>
      </c>
    </row>
    <row r="43" spans="1:4">
      <c r="A43" s="12">
        <v>41</v>
      </c>
      <c r="B43" s="12" t="s">
        <v>394</v>
      </c>
      <c r="C43" s="23" t="s">
        <v>428</v>
      </c>
      <c r="D43" s="12" t="s">
        <v>121</v>
      </c>
    </row>
  </sheetData>
  <sortState xmlns:xlrd2="http://schemas.microsoft.com/office/spreadsheetml/2017/richdata2" ref="B3:D43">
    <sortCondition descending="1" ref="D3:D43"/>
  </sortState>
  <phoneticPr fontId="1"/>
  <conditionalFormatting sqref="A1">
    <cfRule type="expression" dxfId="1" priority="3">
      <formula>C1&gt;0</formula>
    </cfRule>
  </conditionalFormatting>
  <conditionalFormatting sqref="D32">
    <cfRule type="expression" dxfId="0" priority="1">
      <formula>$E32+$F32&gt;0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var_clean251225</vt:lpstr>
      <vt:lpstr>var260113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snakada</dc:creator>
  <cp:lastModifiedBy>nakada shunichi</cp:lastModifiedBy>
  <dcterms:created xsi:type="dcterms:W3CDTF">2026-01-05T10:56:41Z</dcterms:created>
  <dcterms:modified xsi:type="dcterms:W3CDTF">2026-01-13T00:11:48Z</dcterms:modified>
</cp:coreProperties>
</file>